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rfatyinvestimentos-my.sharepoint.com/personal/marylene_lucena_gruposarfaty_com_br/Documents/Área de Trabalho/"/>
    </mc:Choice>
  </mc:AlternateContent>
  <xr:revisionPtr revIDLastSave="0" documentId="8_{41F07481-7A95-4E77-A724-C7DF072F2C21}" xr6:coauthVersionLast="47" xr6:coauthVersionMax="47" xr10:uidLastSave="{00000000-0000-0000-0000-000000000000}"/>
  <bookViews>
    <workbookView xWindow="-108" yWindow="-108" windowWidth="23256" windowHeight="13896" xr2:uid="{A4903288-5CE4-4ED1-BFB9-65DAFB38F103}"/>
  </bookViews>
  <sheets>
    <sheet name="RELATÓRIO" sheetId="1" r:id="rId1"/>
    <sheet name="Planilha1" sheetId="2" state="hidden" r:id="rId2"/>
  </sheets>
  <definedNames>
    <definedName name="_xlnm._FilterDatabase" localSheetId="0" hidden="1">RELATÓRIO!$B$70:$L$73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7" i="1" l="1"/>
  <c r="C157" i="1"/>
  <c r="C27" i="1"/>
  <c r="D159" i="1" l="1"/>
</calcChain>
</file>

<file path=xl/sharedStrings.xml><?xml version="1.0" encoding="utf-8"?>
<sst xmlns="http://schemas.openxmlformats.org/spreadsheetml/2006/main" count="196" uniqueCount="169">
  <si>
    <t>Razão Social:</t>
  </si>
  <si>
    <t>Atividade:</t>
  </si>
  <si>
    <t>Data da Visita:</t>
  </si>
  <si>
    <t>CNPJ:</t>
  </si>
  <si>
    <t>Data do Relatório:</t>
  </si>
  <si>
    <t>Sócios PF e/ou PJ</t>
  </si>
  <si>
    <t>CPF / CNPJ</t>
  </si>
  <si>
    <t>Part %</t>
  </si>
  <si>
    <t>Cargo</t>
  </si>
  <si>
    <t>Estoques</t>
  </si>
  <si>
    <t>Principais Clientes</t>
  </si>
  <si>
    <t>%</t>
  </si>
  <si>
    <t>Principais Fornecedores</t>
  </si>
  <si>
    <t>Total</t>
  </si>
  <si>
    <t>Fornecedores</t>
  </si>
  <si>
    <t>Modalidade</t>
  </si>
  <si>
    <t>CCL</t>
  </si>
  <si>
    <t xml:space="preserve">Endereço: </t>
  </si>
  <si>
    <t>Limite</t>
  </si>
  <si>
    <t>Tranche</t>
  </si>
  <si>
    <t>Prazo</t>
  </si>
  <si>
    <t>TAC</t>
  </si>
  <si>
    <t>Serasa</t>
  </si>
  <si>
    <t>TED</t>
  </si>
  <si>
    <t>% vendas</t>
  </si>
  <si>
    <t>Duplicatas</t>
  </si>
  <si>
    <t>Cheques</t>
  </si>
  <si>
    <t>Principais Produtos e/ou Serviços:</t>
  </si>
  <si>
    <t>À Vista</t>
  </si>
  <si>
    <t>Gerente Comercial:</t>
  </si>
  <si>
    <t>Fundação:</t>
  </si>
  <si>
    <t>Nome Fantasia:</t>
  </si>
  <si>
    <t xml:space="preserve">Tar. Boleto </t>
  </si>
  <si>
    <t>Idade</t>
  </si>
  <si>
    <t>Nome</t>
  </si>
  <si>
    <t>Imóvel</t>
  </si>
  <si>
    <t>Situação</t>
  </si>
  <si>
    <t>CPF</t>
  </si>
  <si>
    <t>Área Construida</t>
  </si>
  <si>
    <t>Área Total</t>
  </si>
  <si>
    <t>Avaliação do Imóvel</t>
  </si>
  <si>
    <t>Capacidade Instalada</t>
  </si>
  <si>
    <t>Capacidade Utilizada</t>
  </si>
  <si>
    <t xml:space="preserve">Países: </t>
  </si>
  <si>
    <t>CNPJ</t>
  </si>
  <si>
    <t>*Concentração</t>
  </si>
  <si>
    <t>*Concentração - Sacado</t>
  </si>
  <si>
    <t>Mercado Interno</t>
  </si>
  <si>
    <t>Mercado Externo</t>
  </si>
  <si>
    <t>À Prazo</t>
  </si>
  <si>
    <t>Capacidade Produtiva</t>
  </si>
  <si>
    <t>Estrutura Operacional</t>
  </si>
  <si>
    <t>Empresas Ligadas</t>
  </si>
  <si>
    <t>Sócios</t>
  </si>
  <si>
    <t>Avalista</t>
  </si>
  <si>
    <t>Garantia</t>
  </si>
  <si>
    <t>Importação</t>
  </si>
  <si>
    <t>Crédito em Conta</t>
  </si>
  <si>
    <t>FOPAG Bruta:</t>
  </si>
  <si>
    <t>Contas à receber</t>
  </si>
  <si>
    <t>Disponível (caixa)</t>
  </si>
  <si>
    <t>Adiant. À Fornecedores</t>
  </si>
  <si>
    <t>Adiant. À Clientes</t>
  </si>
  <si>
    <t>*CP = 12 meses</t>
  </si>
  <si>
    <t>Tipo de Proposta:</t>
  </si>
  <si>
    <t>Funcionários:</t>
  </si>
  <si>
    <t>Fonte de Indicação:</t>
  </si>
  <si>
    <t>Parametrização do Cliente</t>
  </si>
  <si>
    <t>Prazo de Cartório</t>
  </si>
  <si>
    <t>Tarifa de título vencido</t>
  </si>
  <si>
    <t xml:space="preserve">Tarifa de distribuição de cartório </t>
  </si>
  <si>
    <t>Tarifa de envio ao cartório</t>
  </si>
  <si>
    <t>Tarifa de título pago em cartório</t>
  </si>
  <si>
    <t>Tarifa de título protestado</t>
  </si>
  <si>
    <t>Tarifa de sustação</t>
  </si>
  <si>
    <t>Tarifa de prorrogação / abatimento / recompra</t>
  </si>
  <si>
    <t>Tarifa de segunda via de boleto</t>
  </si>
  <si>
    <t>05 dias corridos</t>
  </si>
  <si>
    <t>(*) Padrão</t>
  </si>
  <si>
    <t>Pleito Comercial</t>
  </si>
  <si>
    <t>Taxa</t>
  </si>
  <si>
    <t>Observções da Operação</t>
  </si>
  <si>
    <t>Checagem</t>
  </si>
  <si>
    <t>Prazo Médio de Entrega</t>
  </si>
  <si>
    <t>Transporte</t>
  </si>
  <si>
    <t>Ticket Médio</t>
  </si>
  <si>
    <t>% Vendas por região</t>
  </si>
  <si>
    <t>Tem acesso ao site da transportadora?</t>
  </si>
  <si>
    <t>Canhoto</t>
  </si>
  <si>
    <t>CTE</t>
  </si>
  <si>
    <t>Restrições da Empresa - SERASA (Justificativas)</t>
  </si>
  <si>
    <t>Intercia</t>
  </si>
  <si>
    <t>% Intercia</t>
  </si>
  <si>
    <t>PMR</t>
  </si>
  <si>
    <t>Mercadoria</t>
  </si>
  <si>
    <t>% Entregue</t>
  </si>
  <si>
    <t>% Embarcado</t>
  </si>
  <si>
    <t>% Pré Faturamento</t>
  </si>
  <si>
    <t>Qtos dias</t>
  </si>
  <si>
    <t>Boleto ou C/C</t>
  </si>
  <si>
    <t>Fundos</t>
  </si>
  <si>
    <t>RELATÓRIO COMERCIAL</t>
  </si>
  <si>
    <t>Sul</t>
  </si>
  <si>
    <t>Sudeste</t>
  </si>
  <si>
    <t>Norte</t>
  </si>
  <si>
    <t>Nordeste</t>
  </si>
  <si>
    <t>Centro-Oeste</t>
  </si>
  <si>
    <t>R$</t>
  </si>
  <si>
    <t>Antecipa com grandes redes?</t>
  </si>
  <si>
    <t>Forma de recebimento</t>
  </si>
  <si>
    <t>Listar quais</t>
  </si>
  <si>
    <t>Dupl./Crédito em Conta</t>
  </si>
  <si>
    <t>-</t>
  </si>
  <si>
    <t>Forma de pagamento</t>
  </si>
  <si>
    <t>Prazo médio de pagto.</t>
  </si>
  <si>
    <t>Data Base:</t>
  </si>
  <si>
    <t>Bancos (CP*)</t>
  </si>
  <si>
    <t>Não</t>
  </si>
  <si>
    <t>% compras</t>
  </si>
  <si>
    <t>Transporte terceirizado ou próprio ?</t>
  </si>
  <si>
    <t>Tipo comprovante de entrega</t>
  </si>
  <si>
    <t>Meios Circulantes (Gerencial) - R$ MM</t>
  </si>
  <si>
    <t>Proposta Comercial - R$ MM</t>
  </si>
  <si>
    <t xml:space="preserve"> DEFESA COMERCIAL - SUPERINTENDENTE COMERCIAL </t>
  </si>
  <si>
    <t xml:space="preserve"> DEFESA COMERCIAL</t>
  </si>
  <si>
    <t>Modus Operandi / Histórico da empresa e sócios / Alterações Societárias / Impressões da Visita / Empresas Antecessoras / Parecer sobre experiência pregressa de operações em outras instituições, se possui consultaria ou quem indicou.</t>
  </si>
  <si>
    <t>Marylene Paiva</t>
  </si>
  <si>
    <t>Prospecção</t>
  </si>
  <si>
    <t>BRAVA BRAZIL S.A.</t>
  </si>
  <si>
    <t xml:space="preserve">BRAVA </t>
  </si>
  <si>
    <t>34.254.947/0001-40</t>
  </si>
  <si>
    <t>Comércio atacadista de bebidas não especificadas anteriormente</t>
  </si>
  <si>
    <t>Av Padre Antonio Tomas N. 850 Fortaleza/ Ceará</t>
  </si>
  <si>
    <t>Relacionamento Milla e Mary</t>
  </si>
  <si>
    <t>Desconto</t>
  </si>
  <si>
    <t>Hot Money</t>
  </si>
  <si>
    <t>Limite global: R$ 3,5 MM, sendo:
1)	R$ 1,5 MM desconto de XML domicílio simples, concentração Sendas e Atacadão, prazo até 120 dias
2)	R$ 1,5 MM de desconto de duplicatas, concentração Mercadinhos São Luiz e Guará, Mateus prazo até 120 dias
3)	R$ 500 mil hotmoney</t>
  </si>
  <si>
    <t>Omar Alencar de Macêdo</t>
  </si>
  <si>
    <t>013.808.923-09</t>
  </si>
  <si>
    <t xml:space="preserve">Jefferson Alberto Von Haydin </t>
  </si>
  <si>
    <t xml:space="preserve">560.533.633-91 </t>
  </si>
  <si>
    <t>Sendas Distribuidora S/A</t>
  </si>
  <si>
    <t>06.057.223/0001-71</t>
  </si>
  <si>
    <t>Atacadão S.A</t>
  </si>
  <si>
    <t xml:space="preserve">75.315.333/0001-09 </t>
  </si>
  <si>
    <t>Super Mercadinhos São Luiz</t>
  </si>
  <si>
    <t>03.720.882/0022-82</t>
  </si>
  <si>
    <t xml:space="preserve">         Supermercado Guará</t>
  </si>
  <si>
    <t>04.675.604/0012-41</t>
  </si>
  <si>
    <t xml:space="preserve">  04.675.604/0012-41</t>
  </si>
  <si>
    <t xml:space="preserve">Omar Alencar de Macêdo </t>
  </si>
  <si>
    <t>Presidente</t>
  </si>
  <si>
    <t>560.533.633-91</t>
  </si>
  <si>
    <t>Marcelo Braga de Bezerra</t>
  </si>
  <si>
    <t xml:space="preserve">800.878.503-97 </t>
  </si>
  <si>
    <t>Diretor</t>
  </si>
  <si>
    <t>André Leão Ribeiro</t>
  </si>
  <si>
    <t>134.937.788-05</t>
  </si>
  <si>
    <t xml:space="preserve">A Brava tem 8 anos de fundação, atuando no segmento de comércio de bebidas, como foco em vinhos, cervejas e destilados. Começou as suas atividades com Marcelo Braga e André Linheiros, basicamente a operação inicial era pegar os produtos com a D Origem Distribuidora e revender para restaurantes locais. Posteriormente abriu o seu primeiro restaurante e começou a captar sócios e investidores externos. Hoje o André Linheiros saiu da sociedade e ingressaram os srs. Jefferson von Hayden, Omar Macedo (Grupo J. Macedo) e André Ribeiro (Grupo Fornecedora).
Com o aumento da demanda o grupo começou a ter a necessidade de fazer importação direta ( possui cerca de 20% de importação própria) e diversificar os seus fornecedores.
Possui modelos de vendas on trade para atendimento de grandes redes de supermercados locais como São Luiz e Guará; Cash &amp; Carry  para redes como Atacadão, Assai e Mix Mateus; e On trade para as  maiores redes de restaurantes do Estado como: Grupo Illa Mare, Santa Grelha e Estaleiro.
Hoje o grupo opera somente no Ceará e além dos modelos de vendas com vasta diversificação de clientes possui 3 restaurantes que faturam em média R$ 1,5 MM mensais.
Possui descasamento de fluxo pois nas importações diretas de contêiners fechados são pagas a vista e recebe com até 180 dias e possui um prazo médio de pagamento de 45 dias e 55 de recebimento.
Grupo é bastante conhecido no mercado local, tem mantido um crescimento orgânico e teve algumas despesas elevadas nos últimos 2 anos como o pagamento pela saída do sócio André Linheiros, e a abertura dos 2 novos restaurantes, inclusive um deles localizado no Shopping Iguatemi e outro no Shopping Terraço (pertencente ao Grupo Edson Queiroz).
</t>
  </si>
  <si>
    <t>Bebidas: Vinho, cerveja e destilados</t>
  </si>
  <si>
    <t>Cartão</t>
  </si>
  <si>
    <t>Boleto</t>
  </si>
  <si>
    <t xml:space="preserve">  Supermercado Guará</t>
  </si>
  <si>
    <t xml:space="preserve">09.813.204/0001-16 </t>
  </si>
  <si>
    <t>Wine ( W2W - E commerce de vinhos)</t>
  </si>
  <si>
    <t>Serpa Atacadista de Bebidas</t>
  </si>
  <si>
    <t>06065693/0001-87</t>
  </si>
  <si>
    <t xml:space="preserve"> PEANUT - DISTRIBUIDORA DE BEBIDAS</t>
  </si>
  <si>
    <t>02.127.187/0001-14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</si>
</sst>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dd/mm/yy;@"/>
    <numFmt numFmtId="166" formatCode="#,##0_ ;\-#,##0\ "/>
    <numFmt numFmtId="167" formatCode="_-&quot;R$&quot;\ * #,##0_-;\-&quot;R$&quot;\ * #,##0_-;_-&quot;R$&quot;\ * &quot;-&quot;??_-;_-@_-"/>
    <numFmt numFmtId="168" formatCode="&quot; &quot;00&quot;.&quot;000&quot;.&quot;000&quot;/&quot;0000\-00"/>
    <numFmt numFmtId="169" formatCode="000&quot;.&quot;000&quot;.&quot;000\-00"/>
    <numFmt numFmtId="170" formatCode="mmm/yyyy"/>
    <numFmt numFmtId="171" formatCode="0.0%"/>
    <numFmt numFmtId="172" formatCode="_-&quot;R$&quot;\ * #,##0.0_-;\-&quot;R$&quot;\ * #,##0.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1" tint="0.249977111117893"/>
      </top>
      <bottom/>
      <diagonal/>
    </border>
    <border>
      <left/>
      <right/>
      <top/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/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77111117893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0" fontId="9" fillId="3" borderId="9" xfId="0" applyFont="1" applyFill="1" applyBorder="1" applyAlignment="1">
      <alignment vertical="center"/>
    </xf>
    <xf numFmtId="0" fontId="6" fillId="0" borderId="8" xfId="0" applyFont="1" applyBorder="1"/>
    <xf numFmtId="0" fontId="8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9" fillId="3" borderId="12" xfId="0" applyFont="1" applyFill="1" applyBorder="1" applyAlignment="1">
      <alignment vertical="center"/>
    </xf>
    <xf numFmtId="14" fontId="6" fillId="0" borderId="12" xfId="0" applyNumberFormat="1" applyFont="1" applyBorder="1" applyAlignment="1" applyProtection="1">
      <alignment horizontal="center" vertical="center"/>
      <protection locked="0"/>
    </xf>
    <xf numFmtId="165" fontId="6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3" borderId="1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/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0" borderId="6" xfId="0" applyFont="1" applyBorder="1"/>
    <xf numFmtId="0" fontId="9" fillId="3" borderId="13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0" borderId="14" xfId="0" applyFont="1" applyBorder="1" applyAlignment="1" applyProtection="1">
      <alignment horizontal="left" vertical="center"/>
      <protection locked="0"/>
    </xf>
    <xf numFmtId="166" fontId="6" fillId="0" borderId="22" xfId="0" applyNumberFormat="1" applyFont="1" applyBorder="1" applyAlignment="1" applyProtection="1">
      <alignment horizontal="center" vertical="center"/>
      <protection locked="0"/>
    </xf>
    <xf numFmtId="10" fontId="6" fillId="0" borderId="22" xfId="0" applyNumberFormat="1" applyFont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alignment horizontal="center"/>
      <protection locked="0"/>
    </xf>
    <xf numFmtId="167" fontId="6" fillId="0" borderId="22" xfId="2" applyNumberFormat="1" applyFont="1" applyFill="1" applyBorder="1" applyAlignment="1" applyProtection="1">
      <alignment horizontal="center"/>
      <protection locked="0"/>
    </xf>
    <xf numFmtId="164" fontId="6" fillId="0" borderId="22" xfId="0" applyNumberFormat="1" applyFont="1" applyBorder="1" applyAlignment="1" applyProtection="1">
      <alignment horizontal="center"/>
      <protection locked="0"/>
    </xf>
    <xf numFmtId="164" fontId="6" fillId="0" borderId="23" xfId="0" applyNumberFormat="1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167" fontId="6" fillId="0" borderId="21" xfId="2" applyNumberFormat="1" applyFont="1" applyFill="1" applyBorder="1" applyAlignment="1" applyProtection="1">
      <alignment horizontal="center" vertical="center"/>
      <protection locked="0"/>
    </xf>
    <xf numFmtId="166" fontId="6" fillId="0" borderId="21" xfId="0" applyNumberFormat="1" applyFont="1" applyBorder="1" applyAlignment="1" applyProtection="1">
      <alignment horizontal="center" vertical="center"/>
      <protection locked="0"/>
    </xf>
    <xf numFmtId="10" fontId="6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167" fontId="6" fillId="0" borderId="21" xfId="2" applyNumberFormat="1" applyFont="1" applyFill="1" applyBorder="1" applyAlignment="1" applyProtection="1">
      <alignment horizontal="center"/>
      <protection locked="0"/>
    </xf>
    <xf numFmtId="164" fontId="6" fillId="0" borderId="21" xfId="0" applyNumberFormat="1" applyFont="1" applyBorder="1" applyAlignment="1" applyProtection="1">
      <alignment horizontal="center"/>
      <protection locked="0"/>
    </xf>
    <xf numFmtId="164" fontId="6" fillId="0" borderId="24" xfId="0" applyNumberFormat="1" applyFont="1" applyBorder="1" applyAlignment="1" applyProtection="1">
      <alignment horizontal="center"/>
      <protection locked="0"/>
    </xf>
    <xf numFmtId="167" fontId="6" fillId="0" borderId="17" xfId="2" applyNumberFormat="1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167" fontId="6" fillId="0" borderId="25" xfId="2" applyNumberFormat="1" applyFont="1" applyFill="1" applyBorder="1" applyAlignment="1" applyProtection="1">
      <alignment horizontal="center" vertical="center"/>
      <protection locked="0"/>
    </xf>
    <xf numFmtId="166" fontId="6" fillId="0" borderId="25" xfId="0" applyNumberFormat="1" applyFont="1" applyBorder="1" applyAlignment="1" applyProtection="1">
      <alignment horizontal="center" vertical="center"/>
      <protection locked="0"/>
    </xf>
    <xf numFmtId="10" fontId="6" fillId="0" borderId="25" xfId="0" applyNumberFormat="1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167" fontId="6" fillId="0" borderId="25" xfId="2" applyNumberFormat="1" applyFont="1" applyFill="1" applyBorder="1" applyAlignment="1" applyProtection="1">
      <alignment horizontal="center"/>
      <protection locked="0"/>
    </xf>
    <xf numFmtId="164" fontId="6" fillId="0" borderId="25" xfId="0" applyNumberFormat="1" applyFont="1" applyBorder="1" applyAlignment="1" applyProtection="1">
      <alignment horizontal="center"/>
      <protection locked="0"/>
    </xf>
    <xf numFmtId="164" fontId="6" fillId="0" borderId="26" xfId="0" applyNumberFormat="1" applyFont="1" applyBorder="1" applyAlignment="1" applyProtection="1">
      <alignment horizontal="center"/>
      <protection locked="0"/>
    </xf>
    <xf numFmtId="0" fontId="9" fillId="3" borderId="12" xfId="0" applyFont="1" applyFill="1" applyBorder="1" applyAlignment="1">
      <alignment horizontal="center"/>
    </xf>
    <xf numFmtId="167" fontId="9" fillId="3" borderId="12" xfId="2" applyNumberFormat="1" applyFont="1" applyFill="1" applyBorder="1" applyAlignment="1">
      <alignment horizontal="center" vertical="center"/>
    </xf>
    <xf numFmtId="166" fontId="6" fillId="3" borderId="12" xfId="0" applyNumberFormat="1" applyFont="1" applyFill="1" applyBorder="1" applyAlignment="1">
      <alignment horizontal="center" vertical="center"/>
    </xf>
    <xf numFmtId="10" fontId="6" fillId="3" borderId="12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167" fontId="6" fillId="3" borderId="12" xfId="2" applyNumberFormat="1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/>
    </xf>
    <xf numFmtId="164" fontId="6" fillId="3" borderId="10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6" fontId="6" fillId="0" borderId="11" xfId="0" applyNumberFormat="1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17" xfId="0" applyFont="1" applyBorder="1" applyAlignment="1">
      <alignment horizontal="center"/>
    </xf>
    <xf numFmtId="0" fontId="6" fillId="4" borderId="27" xfId="0" applyFont="1" applyFill="1" applyBorder="1" applyAlignment="1">
      <alignment horizontal="left" vertical="center"/>
    </xf>
    <xf numFmtId="10" fontId="6" fillId="0" borderId="23" xfId="0" applyNumberFormat="1" applyFont="1" applyBorder="1" applyAlignment="1" applyProtection="1">
      <alignment horizontal="center"/>
      <protection locked="0"/>
    </xf>
    <xf numFmtId="10" fontId="6" fillId="4" borderId="27" xfId="0" applyNumberFormat="1" applyFont="1" applyFill="1" applyBorder="1" applyAlignment="1">
      <alignment horizontal="left"/>
    </xf>
    <xf numFmtId="164" fontId="6" fillId="4" borderId="22" xfId="0" applyNumberFormat="1" applyFont="1" applyFill="1" applyBorder="1" applyAlignment="1">
      <alignment horizontal="center"/>
    </xf>
    <xf numFmtId="10" fontId="6" fillId="0" borderId="24" xfId="0" applyNumberFormat="1" applyFont="1" applyBorder="1" applyAlignment="1" applyProtection="1">
      <alignment horizontal="center"/>
      <protection locked="0"/>
    </xf>
    <xf numFmtId="10" fontId="6" fillId="4" borderId="21" xfId="0" applyNumberFormat="1" applyFont="1" applyFill="1" applyBorder="1" applyAlignment="1">
      <alignment horizontal="left"/>
    </xf>
    <xf numFmtId="164" fontId="6" fillId="4" borderId="21" xfId="0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horizontal="left" vertical="center"/>
    </xf>
    <xf numFmtId="10" fontId="6" fillId="4" borderId="18" xfId="0" applyNumberFormat="1" applyFont="1" applyFill="1" applyBorder="1" applyAlignment="1">
      <alignment horizontal="left"/>
    </xf>
    <xf numFmtId="164" fontId="6" fillId="0" borderId="18" xfId="0" applyNumberFormat="1" applyFont="1" applyBorder="1" applyAlignment="1" applyProtection="1">
      <alignment horizontal="center"/>
      <protection locked="0"/>
    </xf>
    <xf numFmtId="164" fontId="6" fillId="4" borderId="18" xfId="0" applyNumberFormat="1" applyFont="1" applyFill="1" applyBorder="1" applyAlignment="1">
      <alignment horizontal="center"/>
    </xf>
    <xf numFmtId="164" fontId="6" fillId="0" borderId="20" xfId="0" applyNumberFormat="1" applyFont="1" applyBorder="1" applyAlignment="1" applyProtection="1">
      <alignment horizontal="center"/>
      <protection locked="0"/>
    </xf>
    <xf numFmtId="10" fontId="6" fillId="0" borderId="29" xfId="0" applyNumberFormat="1" applyFont="1" applyBorder="1" applyAlignment="1" applyProtection="1">
      <alignment horizontal="center"/>
      <protection locked="0"/>
    </xf>
    <xf numFmtId="0" fontId="6" fillId="0" borderId="8" xfId="0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0" fontId="6" fillId="0" borderId="26" xfId="0" applyNumberFormat="1" applyFont="1" applyBorder="1" applyAlignment="1" applyProtection="1">
      <alignment horizontal="center"/>
      <protection locked="0"/>
    </xf>
    <xf numFmtId="0" fontId="7" fillId="0" borderId="8" xfId="0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67" fontId="6" fillId="0" borderId="35" xfId="2" applyNumberFormat="1" applyFont="1" applyFill="1" applyBorder="1" applyAlignment="1" applyProtection="1">
      <alignment horizontal="center" vertical="center"/>
      <protection locked="0"/>
    </xf>
    <xf numFmtId="169" fontId="6" fillId="0" borderId="22" xfId="0" applyNumberFormat="1" applyFont="1" applyBorder="1" applyAlignment="1" applyProtection="1">
      <alignment horizontal="center" vertical="center"/>
      <protection locked="0"/>
    </xf>
    <xf numFmtId="167" fontId="6" fillId="0" borderId="46" xfId="2" applyNumberFormat="1" applyFont="1" applyFill="1" applyBorder="1" applyAlignment="1" applyProtection="1">
      <alignment horizontal="center" vertical="center"/>
      <protection locked="0"/>
    </xf>
    <xf numFmtId="169" fontId="6" fillId="0" borderId="21" xfId="0" applyNumberFormat="1" applyFont="1" applyBorder="1" applyAlignment="1" applyProtection="1">
      <alignment horizontal="center" vertical="center"/>
      <protection locked="0"/>
    </xf>
    <xf numFmtId="168" fontId="6" fillId="0" borderId="47" xfId="0" applyNumberFormat="1" applyFont="1" applyBorder="1" applyAlignment="1" applyProtection="1">
      <alignment horizontal="center"/>
      <protection locked="0"/>
    </xf>
    <xf numFmtId="168" fontId="6" fillId="0" borderId="48" xfId="0" applyNumberFormat="1" applyFont="1" applyBorder="1" applyAlignment="1" applyProtection="1">
      <alignment horizontal="center"/>
      <protection locked="0"/>
    </xf>
    <xf numFmtId="167" fontId="6" fillId="0" borderId="48" xfId="2" applyNumberFormat="1" applyFont="1" applyFill="1" applyBorder="1" applyAlignment="1" applyProtection="1">
      <alignment horizontal="center" vertical="center"/>
      <protection locked="0"/>
    </xf>
    <xf numFmtId="169" fontId="6" fillId="0" borderId="2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168" fontId="8" fillId="0" borderId="36" xfId="0" applyNumberFormat="1" applyFont="1" applyBorder="1" applyAlignment="1" applyProtection="1">
      <alignment horizontal="center" vertical="center"/>
      <protection locked="0"/>
    </xf>
    <xf numFmtId="168" fontId="8" fillId="0" borderId="38" xfId="0" applyNumberFormat="1" applyFont="1" applyBorder="1" applyAlignment="1" applyProtection="1">
      <alignment horizontal="center" vertical="center"/>
      <protection locked="0"/>
    </xf>
    <xf numFmtId="167" fontId="8" fillId="0" borderId="38" xfId="2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>
      <alignment horizontal="center" vertical="center"/>
    </xf>
    <xf numFmtId="9" fontId="6" fillId="0" borderId="42" xfId="0" applyNumberFormat="1" applyFont="1" applyBorder="1" applyAlignment="1" applyProtection="1">
      <alignment horizontal="center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9" fontId="6" fillId="0" borderId="46" xfId="0" applyNumberFormat="1" applyFont="1" applyBorder="1" applyAlignment="1" applyProtection="1">
      <alignment horizont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9" fontId="6" fillId="0" borderId="51" xfId="0" applyNumberFormat="1" applyFont="1" applyBorder="1" applyAlignment="1" applyProtection="1">
      <alignment horizontal="center"/>
      <protection locked="0"/>
    </xf>
    <xf numFmtId="0" fontId="6" fillId="0" borderId="51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9" fontId="6" fillId="0" borderId="0" xfId="0" applyNumberFormat="1" applyFont="1" applyAlignment="1">
      <alignment horizontal="center"/>
    </xf>
    <xf numFmtId="0" fontId="6" fillId="0" borderId="42" xfId="0" applyFont="1" applyBorder="1" applyAlignment="1" applyProtection="1">
      <alignment horizontal="center"/>
      <protection locked="0"/>
    </xf>
    <xf numFmtId="0" fontId="6" fillId="0" borderId="42" xfId="0" applyFont="1" applyBorder="1" applyProtection="1">
      <protection locked="0"/>
    </xf>
    <xf numFmtId="0" fontId="6" fillId="0" borderId="46" xfId="0" applyFont="1" applyBorder="1" applyAlignment="1" applyProtection="1">
      <alignment horizontal="center"/>
      <protection locked="0"/>
    </xf>
    <xf numFmtId="0" fontId="6" fillId="0" borderId="46" xfId="0" applyFont="1" applyBorder="1" applyProtection="1">
      <protection locked="0"/>
    </xf>
    <xf numFmtId="0" fontId="6" fillId="0" borderId="51" xfId="0" applyFont="1" applyBorder="1" applyAlignment="1" applyProtection="1">
      <alignment horizontal="center"/>
      <protection locked="0"/>
    </xf>
    <xf numFmtId="0" fontId="6" fillId="0" borderId="51" xfId="0" applyFont="1" applyBorder="1" applyProtection="1">
      <protection locked="0"/>
    </xf>
    <xf numFmtId="164" fontId="6" fillId="0" borderId="42" xfId="0" applyNumberFormat="1" applyFont="1" applyBorder="1" applyAlignment="1" applyProtection="1">
      <alignment horizontal="center" vertical="center"/>
      <protection locked="0"/>
    </xf>
    <xf numFmtId="164" fontId="6" fillId="0" borderId="51" xfId="0" applyNumberFormat="1" applyFont="1" applyBorder="1" applyAlignment="1" applyProtection="1">
      <alignment horizontal="center" vertical="center"/>
      <protection locked="0"/>
    </xf>
    <xf numFmtId="0" fontId="6" fillId="2" borderId="0" xfId="0" applyFont="1" applyFill="1"/>
    <xf numFmtId="9" fontId="6" fillId="0" borderId="50" xfId="3" applyFont="1" applyFill="1" applyBorder="1" applyAlignment="1" applyProtection="1">
      <alignment horizontal="center"/>
      <protection locked="0"/>
    </xf>
    <xf numFmtId="9" fontId="6" fillId="0" borderId="51" xfId="3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>
      <alignment vertical="center"/>
    </xf>
    <xf numFmtId="9" fontId="6" fillId="0" borderId="30" xfId="0" applyNumberFormat="1" applyFont="1" applyBorder="1" applyAlignment="1" applyProtection="1">
      <alignment horizontal="center" vertical="center"/>
      <protection locked="0"/>
    </xf>
    <xf numFmtId="0" fontId="6" fillId="4" borderId="42" xfId="0" applyFont="1" applyFill="1" applyBorder="1" applyAlignment="1">
      <alignment vertical="center"/>
    </xf>
    <xf numFmtId="9" fontId="6" fillId="0" borderId="42" xfId="3" applyFont="1" applyFill="1" applyBorder="1" applyAlignment="1" applyProtection="1">
      <alignment horizontal="center" vertical="center"/>
      <protection locked="0"/>
    </xf>
    <xf numFmtId="9" fontId="6" fillId="0" borderId="0" xfId="0" applyNumberFormat="1" applyFont="1" applyAlignment="1">
      <alignment horizontal="left" vertical="center"/>
    </xf>
    <xf numFmtId="0" fontId="6" fillId="4" borderId="46" xfId="0" applyFont="1" applyFill="1" applyBorder="1" applyAlignment="1">
      <alignment vertical="center"/>
    </xf>
    <xf numFmtId="9" fontId="6" fillId="0" borderId="46" xfId="3" applyFont="1" applyFill="1" applyBorder="1" applyAlignment="1" applyProtection="1">
      <alignment horizontal="center" vertical="center"/>
      <protection locked="0"/>
    </xf>
    <xf numFmtId="0" fontId="8" fillId="0" borderId="46" xfId="0" applyFont="1" applyBorder="1" applyAlignment="1">
      <alignment horizontal="center" vertical="center"/>
    </xf>
    <xf numFmtId="0" fontId="6" fillId="4" borderId="51" xfId="0" applyFont="1" applyFill="1" applyBorder="1" applyAlignment="1">
      <alignment vertical="center"/>
    </xf>
    <xf numFmtId="9" fontId="6" fillId="0" borderId="51" xfId="3" applyFont="1" applyFill="1" applyBorder="1" applyAlignment="1" applyProtection="1">
      <alignment horizontal="center" vertical="center"/>
      <protection locked="0"/>
    </xf>
    <xf numFmtId="0" fontId="8" fillId="0" borderId="31" xfId="0" applyFont="1" applyBorder="1" applyAlignment="1">
      <alignment vertical="center"/>
    </xf>
    <xf numFmtId="0" fontId="6" fillId="0" borderId="32" xfId="0" applyFont="1" applyBorder="1"/>
    <xf numFmtId="0" fontId="6" fillId="0" borderId="33" xfId="0" applyFont="1" applyBorder="1"/>
    <xf numFmtId="0" fontId="6" fillId="0" borderId="42" xfId="0" applyFont="1" applyBorder="1" applyAlignment="1" applyProtection="1">
      <alignment vertical="center"/>
      <protection locked="0"/>
    </xf>
    <xf numFmtId="0" fontId="6" fillId="0" borderId="34" xfId="0" applyFont="1" applyBorder="1" applyAlignment="1">
      <alignment vertical="center"/>
    </xf>
    <xf numFmtId="9" fontId="6" fillId="0" borderId="0" xfId="0" applyNumberFormat="1" applyFont="1" applyAlignment="1">
      <alignment horizontal="center" vertical="center"/>
    </xf>
    <xf numFmtId="9" fontId="6" fillId="0" borderId="35" xfId="0" applyNumberFormat="1" applyFont="1" applyBorder="1" applyAlignment="1">
      <alignment horizontal="center" vertical="center"/>
    </xf>
    <xf numFmtId="0" fontId="6" fillId="4" borderId="50" xfId="0" applyFont="1" applyFill="1" applyBorder="1" applyAlignment="1">
      <alignment vertical="center"/>
    </xf>
    <xf numFmtId="0" fontId="8" fillId="0" borderId="51" xfId="0" applyFont="1" applyBorder="1" applyAlignment="1">
      <alignment horizontal="center" vertical="center"/>
    </xf>
    <xf numFmtId="0" fontId="6" fillId="0" borderId="51" xfId="0" applyFont="1" applyBorder="1" applyAlignment="1" applyProtection="1">
      <alignment vertical="center"/>
      <protection locked="0"/>
    </xf>
    <xf numFmtId="0" fontId="6" fillId="0" borderId="36" xfId="0" applyFont="1" applyBorder="1" applyAlignment="1">
      <alignment vertical="center"/>
    </xf>
    <xf numFmtId="9" fontId="6" fillId="0" borderId="37" xfId="0" applyNumberFormat="1" applyFont="1" applyBorder="1" applyAlignment="1">
      <alignment horizontal="center" vertical="center"/>
    </xf>
    <xf numFmtId="9" fontId="6" fillId="0" borderId="38" xfId="0" applyNumberFormat="1" applyFont="1" applyBorder="1" applyAlignment="1">
      <alignment horizontal="center" vertical="center"/>
    </xf>
    <xf numFmtId="0" fontId="6" fillId="4" borderId="30" xfId="0" applyFont="1" applyFill="1" applyBorder="1" applyAlignment="1">
      <alignment vertical="center"/>
    </xf>
    <xf numFmtId="9" fontId="6" fillId="0" borderId="42" xfId="0" applyNumberFormat="1" applyFont="1" applyBorder="1" applyAlignment="1" applyProtection="1">
      <alignment horizontal="center" vertical="center"/>
      <protection locked="0"/>
    </xf>
    <xf numFmtId="9" fontId="6" fillId="0" borderId="46" xfId="0" applyNumberFormat="1" applyFont="1" applyBorder="1" applyAlignment="1" applyProtection="1">
      <alignment horizontal="center" vertical="center"/>
      <protection locked="0"/>
    </xf>
    <xf numFmtId="9" fontId="6" fillId="0" borderId="51" xfId="0" applyNumberFormat="1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3" borderId="40" xfId="0" applyFont="1" applyFill="1" applyBorder="1" applyAlignment="1">
      <alignment horizontal="right" vertical="center"/>
    </xf>
    <xf numFmtId="43" fontId="6" fillId="0" borderId="0" xfId="1" applyFont="1" applyFill="1" applyBorder="1" applyAlignment="1">
      <alignment horizontal="center" vertical="top"/>
    </xf>
    <xf numFmtId="43" fontId="6" fillId="0" borderId="0" xfId="1" applyFont="1" applyFill="1" applyBorder="1" applyAlignment="1">
      <alignment horizontal="left" vertical="top"/>
    </xf>
    <xf numFmtId="43" fontId="6" fillId="0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170" fontId="10" fillId="3" borderId="30" xfId="0" applyNumberFormat="1" applyFont="1" applyFill="1" applyBorder="1" applyAlignment="1">
      <alignment horizontal="center" wrapText="1"/>
    </xf>
    <xf numFmtId="0" fontId="8" fillId="4" borderId="43" xfId="0" applyFont="1" applyFill="1" applyBorder="1"/>
    <xf numFmtId="167" fontId="6" fillId="0" borderId="42" xfId="2" applyNumberFormat="1" applyFont="1" applyFill="1" applyBorder="1" applyAlignment="1" applyProtection="1">
      <protection locked="0"/>
    </xf>
    <xf numFmtId="0" fontId="8" fillId="4" borderId="42" xfId="0" applyFont="1" applyFill="1" applyBorder="1"/>
    <xf numFmtId="43" fontId="8" fillId="0" borderId="0" xfId="1" applyFont="1" applyFill="1" applyBorder="1" applyAlignment="1">
      <alignment vertical="top"/>
    </xf>
    <xf numFmtId="37" fontId="6" fillId="0" borderId="0" xfId="1" applyNumberFormat="1" applyFont="1" applyFill="1" applyBorder="1" applyAlignment="1">
      <alignment horizontal="center" vertical="top"/>
    </xf>
    <xf numFmtId="0" fontId="8" fillId="4" borderId="34" xfId="0" applyFont="1" applyFill="1" applyBorder="1"/>
    <xf numFmtId="0" fontId="8" fillId="4" borderId="46" xfId="0" applyFont="1" applyFill="1" applyBorder="1"/>
    <xf numFmtId="0" fontId="8" fillId="4" borderId="36" xfId="0" applyFont="1" applyFill="1" applyBorder="1"/>
    <xf numFmtId="0" fontId="8" fillId="4" borderId="50" xfId="0" applyFont="1" applyFill="1" applyBorder="1"/>
    <xf numFmtId="0" fontId="8" fillId="0" borderId="0" xfId="0" applyFont="1"/>
    <xf numFmtId="0" fontId="6" fillId="0" borderId="36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7" fontId="8" fillId="0" borderId="0" xfId="0" applyNumberFormat="1" applyFont="1" applyAlignment="1">
      <alignment horizontal="center"/>
    </xf>
    <xf numFmtId="37" fontId="6" fillId="0" borderId="0" xfId="0" applyNumberFormat="1" applyFont="1"/>
    <xf numFmtId="0" fontId="6" fillId="2" borderId="0" xfId="0" applyFont="1" applyFill="1" applyAlignment="1">
      <alignment horizontal="center"/>
    </xf>
    <xf numFmtId="43" fontId="6" fillId="2" borderId="0" xfId="1" applyFont="1" applyFill="1" applyBorder="1" applyAlignment="1">
      <alignment horizontal="left" vertical="top"/>
    </xf>
    <xf numFmtId="43" fontId="6" fillId="2" borderId="0" xfId="1" applyFont="1" applyFill="1" applyBorder="1" applyAlignment="1">
      <alignment horizontal="center" vertical="top"/>
    </xf>
    <xf numFmtId="43" fontId="6" fillId="2" borderId="0" xfId="1" applyFont="1" applyFill="1" applyBorder="1" applyAlignment="1">
      <alignment horizontal="center" vertical="center"/>
    </xf>
    <xf numFmtId="43" fontId="6" fillId="2" borderId="0" xfId="1" applyFont="1" applyFill="1" applyBorder="1" applyAlignment="1">
      <alignment horizontal="center"/>
    </xf>
    <xf numFmtId="43" fontId="6" fillId="2" borderId="0" xfId="1" applyFont="1" applyFill="1" applyBorder="1"/>
    <xf numFmtId="166" fontId="6" fillId="0" borderId="55" xfId="0" applyNumberFormat="1" applyFont="1" applyBorder="1" applyAlignment="1">
      <alignment horizontal="center" vertical="center"/>
    </xf>
    <xf numFmtId="0" fontId="6" fillId="4" borderId="57" xfId="0" applyFont="1" applyFill="1" applyBorder="1" applyAlignment="1">
      <alignment horizontal="left" vertical="center"/>
    </xf>
    <xf numFmtId="166" fontId="6" fillId="4" borderId="23" xfId="0" applyNumberFormat="1" applyFont="1" applyFill="1" applyBorder="1" applyAlignment="1">
      <alignment horizontal="center" vertical="center"/>
    </xf>
    <xf numFmtId="166" fontId="6" fillId="4" borderId="24" xfId="0" applyNumberFormat="1" applyFont="1" applyFill="1" applyBorder="1" applyAlignment="1">
      <alignment horizontal="center" vertical="center"/>
    </xf>
    <xf numFmtId="166" fontId="6" fillId="4" borderId="26" xfId="0" applyNumberFormat="1" applyFont="1" applyFill="1" applyBorder="1" applyAlignment="1">
      <alignment horizontal="center" vertical="center"/>
    </xf>
    <xf numFmtId="166" fontId="6" fillId="0" borderId="58" xfId="0" applyNumberFormat="1" applyFont="1" applyBorder="1" applyAlignment="1" applyProtection="1">
      <alignment horizontal="center" vertical="center"/>
      <protection locked="0"/>
    </xf>
    <xf numFmtId="166" fontId="6" fillId="0" borderId="59" xfId="0" applyNumberFormat="1" applyFont="1" applyBorder="1" applyAlignment="1">
      <alignment horizontal="center" vertical="center"/>
    </xf>
    <xf numFmtId="166" fontId="6" fillId="0" borderId="56" xfId="0" applyNumberFormat="1" applyFont="1" applyBorder="1" applyAlignment="1" applyProtection="1">
      <alignment horizontal="center" vertical="center"/>
      <protection locked="0"/>
    </xf>
    <xf numFmtId="167" fontId="6" fillId="0" borderId="56" xfId="2" applyNumberFormat="1" applyFont="1" applyFill="1" applyBorder="1" applyAlignment="1" applyProtection="1">
      <alignment horizontal="center" vertical="center"/>
      <protection locked="0"/>
    </xf>
    <xf numFmtId="0" fontId="6" fillId="0" borderId="36" xfId="0" applyFont="1" applyBorder="1"/>
    <xf numFmtId="0" fontId="6" fillId="0" borderId="38" xfId="0" applyFont="1" applyBorder="1" applyAlignment="1">
      <alignment horizontal="center" vertical="center"/>
    </xf>
    <xf numFmtId="9" fontId="6" fillId="0" borderId="22" xfId="3" applyFont="1" applyBorder="1" applyAlignment="1" applyProtection="1">
      <alignment horizontal="center"/>
      <protection locked="0"/>
    </xf>
    <xf numFmtId="9" fontId="6" fillId="0" borderId="21" xfId="3" applyFont="1" applyBorder="1" applyAlignment="1" applyProtection="1">
      <alignment horizontal="center"/>
      <protection locked="0"/>
    </xf>
    <xf numFmtId="171" fontId="6" fillId="0" borderId="42" xfId="0" applyNumberFormat="1" applyFont="1" applyBorder="1" applyAlignment="1" applyProtection="1">
      <alignment horizontal="center"/>
      <protection locked="0"/>
    </xf>
    <xf numFmtId="171" fontId="6" fillId="0" borderId="46" xfId="0" applyNumberFormat="1" applyFont="1" applyBorder="1" applyAlignment="1" applyProtection="1">
      <alignment horizontal="center"/>
      <protection locked="0"/>
    </xf>
    <xf numFmtId="172" fontId="6" fillId="0" borderId="46" xfId="2" applyNumberFormat="1" applyFont="1" applyFill="1" applyBorder="1" applyAlignment="1" applyProtection="1">
      <protection locked="0"/>
    </xf>
    <xf numFmtId="172" fontId="6" fillId="0" borderId="51" xfId="2" applyNumberFormat="1" applyFont="1" applyFill="1" applyBorder="1" applyAlignment="1" applyProtection="1">
      <protection locked="0"/>
    </xf>
    <xf numFmtId="172" fontId="8" fillId="0" borderId="51" xfId="2" applyNumberFormat="1" applyFont="1" applyFill="1" applyBorder="1" applyAlignment="1">
      <alignment horizontal="left" vertical="top"/>
    </xf>
    <xf numFmtId="172" fontId="6" fillId="0" borderId="45" xfId="2" applyNumberFormat="1" applyFont="1" applyFill="1" applyBorder="1" applyProtection="1">
      <protection locked="0"/>
    </xf>
    <xf numFmtId="172" fontId="6" fillId="0" borderId="48" xfId="2" applyNumberFormat="1" applyFont="1" applyFill="1" applyBorder="1" applyProtection="1">
      <protection locked="0"/>
    </xf>
    <xf numFmtId="44" fontId="8" fillId="0" borderId="41" xfId="2" applyFont="1" applyFill="1" applyBorder="1" applyAlignment="1">
      <alignment horizontal="left" vertical="top"/>
    </xf>
    <xf numFmtId="172" fontId="6" fillId="0" borderId="22" xfId="2" applyNumberFormat="1" applyFont="1" applyFill="1" applyBorder="1" applyAlignment="1" applyProtection="1">
      <alignment horizontal="center" vertical="center"/>
      <protection locked="0"/>
    </xf>
    <xf numFmtId="172" fontId="6" fillId="0" borderId="21" xfId="2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6" fillId="0" borderId="41" xfId="0" applyFont="1" applyBorder="1" applyAlignment="1" applyProtection="1">
      <alignment horizontal="left" vertical="center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48" xfId="0" applyFont="1" applyBorder="1" applyAlignment="1" applyProtection="1">
      <alignment horizontal="center"/>
      <protection locked="0"/>
    </xf>
    <xf numFmtId="0" fontId="6" fillId="0" borderId="47" xfId="0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9" fillId="3" borderId="39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3" borderId="39" xfId="0" applyFont="1" applyFill="1" applyBorder="1" applyAlignment="1">
      <alignment horizontal="right" vertical="center"/>
    </xf>
    <xf numFmtId="0" fontId="9" fillId="3" borderId="40" xfId="0" applyFont="1" applyFill="1" applyBorder="1" applyAlignment="1">
      <alignment horizontal="right" vertical="center"/>
    </xf>
    <xf numFmtId="37" fontId="9" fillId="3" borderId="39" xfId="0" applyNumberFormat="1" applyFont="1" applyFill="1" applyBorder="1" applyAlignment="1">
      <alignment horizontal="center"/>
    </xf>
    <xf numFmtId="37" fontId="9" fillId="3" borderId="41" xfId="0" applyNumberFormat="1" applyFont="1" applyFill="1" applyBorder="1" applyAlignment="1">
      <alignment horizontal="center"/>
    </xf>
    <xf numFmtId="172" fontId="8" fillId="0" borderId="39" xfId="2" applyNumberFormat="1" applyFont="1" applyFill="1" applyBorder="1" applyAlignment="1">
      <alignment horizontal="center" vertical="center"/>
    </xf>
    <xf numFmtId="172" fontId="8" fillId="0" borderId="41" xfId="2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6" fillId="0" borderId="43" xfId="0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164" fontId="6" fillId="0" borderId="43" xfId="0" applyNumberFormat="1" applyFont="1" applyBorder="1" applyAlignment="1" applyProtection="1">
      <alignment horizontal="center"/>
      <protection locked="0"/>
    </xf>
    <xf numFmtId="164" fontId="6" fillId="0" borderId="44" xfId="0" applyNumberFormat="1" applyFont="1" applyBorder="1" applyAlignment="1" applyProtection="1">
      <alignment horizontal="center"/>
      <protection locked="0"/>
    </xf>
    <xf numFmtId="164" fontId="6" fillId="0" borderId="45" xfId="0" applyNumberFormat="1" applyFont="1" applyBorder="1" applyAlignment="1" applyProtection="1">
      <alignment horizontal="center"/>
      <protection locked="0"/>
    </xf>
    <xf numFmtId="3" fontId="6" fillId="0" borderId="43" xfId="0" applyNumberFormat="1" applyFont="1" applyBorder="1" applyAlignment="1" applyProtection="1">
      <alignment horizontal="center" vertical="center"/>
      <protection locked="0"/>
    </xf>
    <xf numFmtId="3" fontId="6" fillId="0" borderId="45" xfId="0" applyNumberFormat="1" applyFont="1" applyBorder="1" applyAlignment="1" applyProtection="1">
      <alignment horizontal="center" vertical="center"/>
      <protection locked="0"/>
    </xf>
    <xf numFmtId="164" fontId="6" fillId="0" borderId="43" xfId="0" applyNumberFormat="1" applyFont="1" applyBorder="1" applyAlignment="1" applyProtection="1">
      <alignment horizontal="center" vertical="center"/>
      <protection locked="0"/>
    </xf>
    <xf numFmtId="164" fontId="6" fillId="0" borderId="44" xfId="0" applyNumberFormat="1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 applyProtection="1">
      <alignment horizontal="center" vertical="center"/>
      <protection locked="0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164" fontId="6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38" xfId="0" applyNumberFormat="1" applyFont="1" applyBorder="1" applyAlignment="1" applyProtection="1">
      <alignment horizontal="center" vertical="center"/>
      <protection locked="0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9" fillId="3" borderId="39" xfId="0" applyFont="1" applyFill="1" applyBorder="1" applyAlignment="1">
      <alignment horizontal="center"/>
    </xf>
    <xf numFmtId="0" fontId="9" fillId="3" borderId="40" xfId="0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left" vertical="center"/>
    </xf>
    <xf numFmtId="0" fontId="9" fillId="3" borderId="40" xfId="0" applyFont="1" applyFill="1" applyBorder="1" applyAlignment="1">
      <alignment horizontal="left" vertical="center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left" vertical="top" wrapText="1"/>
      <protection locked="0"/>
    </xf>
    <xf numFmtId="0" fontId="6" fillId="0" borderId="32" xfId="0" applyFont="1" applyBorder="1" applyAlignment="1" applyProtection="1">
      <alignment horizontal="left" vertical="top" wrapText="1"/>
      <protection locked="0"/>
    </xf>
    <xf numFmtId="0" fontId="6" fillId="0" borderId="33" xfId="0" applyFont="1" applyBorder="1" applyAlignment="1" applyProtection="1">
      <alignment horizontal="left" vertical="top" wrapText="1"/>
      <protection locked="0"/>
    </xf>
    <xf numFmtId="0" fontId="6" fillId="0" borderId="34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35" xfId="0" applyFont="1" applyBorder="1" applyAlignment="1" applyProtection="1">
      <alignment horizontal="left" vertical="top" wrapText="1"/>
      <protection locked="0"/>
    </xf>
    <xf numFmtId="0" fontId="6" fillId="0" borderId="36" xfId="0" applyFont="1" applyBorder="1" applyAlignment="1" applyProtection="1">
      <alignment horizontal="left" vertical="top" wrapText="1"/>
      <protection locked="0"/>
    </xf>
    <xf numFmtId="0" fontId="6" fillId="0" borderId="37" xfId="0" applyFont="1" applyBorder="1" applyAlignment="1" applyProtection="1">
      <alignment horizontal="left" vertical="top" wrapText="1"/>
      <protection locked="0"/>
    </xf>
    <xf numFmtId="0" fontId="6" fillId="0" borderId="38" xfId="0" applyFont="1" applyBorder="1" applyAlignment="1" applyProtection="1">
      <alignment horizontal="left" vertical="top" wrapText="1"/>
      <protection locked="0"/>
    </xf>
    <xf numFmtId="0" fontId="8" fillId="0" borderId="32" xfId="0" applyFont="1" applyBorder="1" applyAlignment="1">
      <alignment horizontal="center" vertical="top" wrapText="1"/>
    </xf>
    <xf numFmtId="0" fontId="8" fillId="0" borderId="37" xfId="0" applyFont="1" applyBorder="1" applyAlignment="1">
      <alignment horizontal="center" vertical="top" wrapText="1"/>
    </xf>
    <xf numFmtId="168" fontId="6" fillId="0" borderId="43" xfId="0" applyNumberFormat="1" applyFont="1" applyBorder="1" applyAlignment="1" applyProtection="1">
      <alignment horizontal="center"/>
      <protection locked="0"/>
    </xf>
    <xf numFmtId="168" fontId="6" fillId="0" borderId="44" xfId="0" applyNumberFormat="1" applyFont="1" applyBorder="1" applyAlignment="1" applyProtection="1">
      <alignment horizontal="center"/>
      <protection locked="0"/>
    </xf>
    <xf numFmtId="168" fontId="6" fillId="0" borderId="45" xfId="0" applyNumberFormat="1" applyFont="1" applyBorder="1" applyAlignment="1" applyProtection="1">
      <alignment horizontal="center"/>
      <protection locked="0"/>
    </xf>
    <xf numFmtId="168" fontId="6" fillId="0" borderId="47" xfId="0" applyNumberFormat="1" applyFont="1" applyBorder="1" applyAlignment="1" applyProtection="1">
      <alignment horizontal="center"/>
      <protection locked="0"/>
    </xf>
    <xf numFmtId="168" fontId="6" fillId="0" borderId="4" xfId="0" applyNumberFormat="1" applyFont="1" applyBorder="1" applyAlignment="1" applyProtection="1">
      <alignment horizontal="center"/>
      <protection locked="0"/>
    </xf>
    <xf numFmtId="168" fontId="6" fillId="0" borderId="48" xfId="0" applyNumberFormat="1" applyFont="1" applyBorder="1" applyAlignment="1" applyProtection="1">
      <alignment horizontal="center"/>
      <protection locked="0"/>
    </xf>
    <xf numFmtId="168" fontId="6" fillId="0" borderId="36" xfId="0" applyNumberFormat="1" applyFont="1" applyBorder="1" applyAlignment="1" applyProtection="1">
      <alignment horizontal="center"/>
      <protection locked="0"/>
    </xf>
    <xf numFmtId="168" fontId="6" fillId="0" borderId="37" xfId="0" applyNumberFormat="1" applyFont="1" applyBorder="1" applyAlignment="1" applyProtection="1">
      <alignment horizontal="center"/>
      <protection locked="0"/>
    </xf>
    <xf numFmtId="168" fontId="6" fillId="0" borderId="38" xfId="0" applyNumberFormat="1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6" fillId="0" borderId="45" xfId="0" applyFont="1" applyBorder="1" applyAlignment="1" applyProtection="1">
      <alignment horizontal="center"/>
      <protection locked="0"/>
    </xf>
    <xf numFmtId="0" fontId="6" fillId="0" borderId="36" xfId="0" applyFont="1" applyBorder="1" applyAlignment="1" applyProtection="1">
      <alignment horizontal="center"/>
      <protection locked="0"/>
    </xf>
    <xf numFmtId="0" fontId="6" fillId="0" borderId="37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45" xfId="0" applyFont="1" applyBorder="1" applyAlignment="1" applyProtection="1">
      <alignment horizontal="left"/>
      <protection locked="0"/>
    </xf>
    <xf numFmtId="0" fontId="8" fillId="0" borderId="0" xfId="0" applyFont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3" fontId="6" fillId="0" borderId="36" xfId="0" applyNumberFormat="1" applyFont="1" applyBorder="1" applyAlignment="1" applyProtection="1">
      <alignment horizontal="center" vertical="center"/>
      <protection locked="0"/>
    </xf>
    <xf numFmtId="3" fontId="6" fillId="0" borderId="38" xfId="0" applyNumberFormat="1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/>
      <protection locked="0"/>
    </xf>
    <xf numFmtId="164" fontId="6" fillId="0" borderId="4" xfId="0" applyNumberFormat="1" applyFont="1" applyBorder="1" applyAlignment="1" applyProtection="1">
      <alignment horizontal="center"/>
      <protection locked="0"/>
    </xf>
    <xf numFmtId="164" fontId="6" fillId="0" borderId="48" xfId="0" applyNumberFormat="1" applyFont="1" applyBorder="1" applyAlignment="1" applyProtection="1">
      <alignment horizontal="center"/>
      <protection locked="0"/>
    </xf>
    <xf numFmtId="168" fontId="6" fillId="0" borderId="49" xfId="0" applyNumberFormat="1" applyFont="1" applyBorder="1" applyAlignment="1" applyProtection="1">
      <alignment horizontal="center"/>
      <protection locked="0"/>
    </xf>
    <xf numFmtId="0" fontId="6" fillId="2" borderId="52" xfId="0" applyFont="1" applyFill="1" applyBorder="1" applyAlignment="1" applyProtection="1">
      <alignment horizontal="center"/>
      <protection locked="0"/>
    </xf>
    <xf numFmtId="0" fontId="6" fillId="2" borderId="53" xfId="0" applyFont="1" applyFill="1" applyBorder="1" applyAlignment="1" applyProtection="1">
      <alignment horizontal="center"/>
      <protection locked="0"/>
    </xf>
    <xf numFmtId="0" fontId="6" fillId="2" borderId="54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left" vertical="top"/>
      <protection locked="0"/>
    </xf>
    <xf numFmtId="0" fontId="6" fillId="0" borderId="32" xfId="0" applyFont="1" applyBorder="1" applyAlignment="1" applyProtection="1">
      <alignment horizontal="left" vertical="top"/>
      <protection locked="0"/>
    </xf>
    <xf numFmtId="0" fontId="6" fillId="0" borderId="33" xfId="0" applyFont="1" applyBorder="1" applyAlignment="1" applyProtection="1">
      <alignment horizontal="left" vertical="top"/>
      <protection locked="0"/>
    </xf>
    <xf numFmtId="0" fontId="6" fillId="0" borderId="34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35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 applyProtection="1">
      <alignment horizontal="left" vertical="top"/>
      <protection locked="0"/>
    </xf>
    <xf numFmtId="0" fontId="6" fillId="0" borderId="37" xfId="0" applyFont="1" applyBorder="1" applyAlignment="1" applyProtection="1">
      <alignment horizontal="left" vertical="top"/>
      <protection locked="0"/>
    </xf>
    <xf numFmtId="0" fontId="6" fillId="0" borderId="38" xfId="0" applyFont="1" applyBorder="1" applyAlignment="1" applyProtection="1">
      <alignment horizontal="left" vertical="top"/>
      <protection locked="0"/>
    </xf>
    <xf numFmtId="0" fontId="6" fillId="4" borderId="39" xfId="0" applyFont="1" applyFill="1" applyBorder="1" applyAlignment="1">
      <alignment horizontal="left" vertical="center"/>
    </xf>
    <xf numFmtId="0" fontId="6" fillId="4" borderId="41" xfId="0" applyFont="1" applyFill="1" applyBorder="1" applyAlignment="1">
      <alignment horizontal="left" vertical="center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168" fontId="6" fillId="0" borderId="34" xfId="0" applyNumberFormat="1" applyFont="1" applyBorder="1" applyAlignment="1" applyProtection="1">
      <alignment horizontal="center"/>
      <protection locked="0"/>
    </xf>
    <xf numFmtId="168" fontId="6" fillId="0" borderId="35" xfId="0" applyNumberFormat="1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10" fontId="9" fillId="3" borderId="13" xfId="0" applyNumberFormat="1" applyFont="1" applyFill="1" applyBorder="1" applyAlignment="1">
      <alignment horizontal="center"/>
    </xf>
    <xf numFmtId="10" fontId="9" fillId="3" borderId="11" xfId="0" applyNumberFormat="1" applyFont="1" applyFill="1" applyBorder="1" applyAlignment="1">
      <alignment horizontal="center"/>
    </xf>
    <xf numFmtId="10" fontId="9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6" fillId="0" borderId="34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13" xfId="0" applyFont="1" applyFill="1" applyBorder="1" applyAlignment="1">
      <alignment horizontal="center"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164" fontId="8" fillId="0" borderId="9" xfId="0" applyNumberFormat="1" applyFont="1" applyBorder="1" applyAlignment="1" applyProtection="1">
      <alignment horizontal="center" vertical="center"/>
      <protection locked="0"/>
    </xf>
    <xf numFmtId="164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8" fillId="0" borderId="13" xfId="0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168" fontId="6" fillId="0" borderId="13" xfId="0" applyNumberFormat="1" applyFont="1" applyBorder="1" applyAlignment="1" applyProtection="1">
      <alignment horizontal="center"/>
      <protection locked="0"/>
    </xf>
    <xf numFmtId="168" fontId="6" fillId="0" borderId="10" xfId="0" applyNumberFormat="1" applyFont="1" applyBorder="1" applyAlignment="1" applyProtection="1">
      <alignment horizontal="center"/>
      <protection locked="0"/>
    </xf>
    <xf numFmtId="14" fontId="6" fillId="0" borderId="13" xfId="0" quotePrefix="1" applyNumberFormat="1" applyFont="1" applyBorder="1" applyAlignment="1" applyProtection="1">
      <alignment horizontal="center" vertical="center"/>
      <protection locked="0"/>
    </xf>
    <xf numFmtId="14" fontId="6" fillId="0" borderId="10" xfId="0" quotePrefix="1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15" xfId="0" applyFont="1" applyBorder="1" applyAlignment="1" applyProtection="1">
      <alignment horizontal="left" vertical="top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16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6" fillId="0" borderId="20" xfId="0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6" fillId="0" borderId="39" xfId="0" applyNumberFormat="1" applyFont="1" applyBorder="1" applyAlignment="1" applyProtection="1">
      <alignment horizontal="left" vertical="center"/>
      <protection locked="0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">
    <dxf>
      <font>
        <color theme="4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1576385</xdr:colOff>
      <xdr:row>0</xdr:row>
      <xdr:rowOff>311294</xdr:rowOff>
    </xdr:from>
    <xdr:to>
      <xdr:col>11</xdr:col>
      <xdr:colOff>108239</xdr:colOff>
      <xdr:row>4</xdr:row>
      <xdr:rowOff>242204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A309967E-6172-EAD0-85E9-C0FEBA2FAC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2"/>
        <a:stretch/>
      </xdr:blipFill>
      <xdr:spPr bwMode="auto">
        <a:xfrm>
          <a:off x="16539294" y="311294"/>
          <a:ext cx="5078127" cy="124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E0F2-BA55-4EFB-96F8-DBED21F7DDD2}">
  <dimension ref="A1:M163"/>
  <sheetViews>
    <sheetView showGridLines="0" tabSelected="1" view="pageBreakPreview" zoomScale="55" zoomScaleNormal="55" zoomScaleSheetLayoutView="55" workbookViewId="0">
      <selection activeCell="H17" sqref="H17"/>
    </sheetView>
  </sheetViews>
  <sheetFormatPr defaultColWidth="9.109375" defaultRowHeight="25.8" x14ac:dyDescent="0.5"/>
  <cols>
    <col min="1" max="1" width="2.6640625" style="16" customWidth="1"/>
    <col min="2" max="2" width="93.6640625" style="16" customWidth="1"/>
    <col min="3" max="3" width="28.44140625" style="16" customWidth="1"/>
    <col min="4" max="4" width="45.44140625" style="24" customWidth="1"/>
    <col min="5" max="5" width="30.44140625" style="16" customWidth="1"/>
    <col min="6" max="6" width="27" style="16" customWidth="1"/>
    <col min="7" max="7" width="28.88671875" style="16" customWidth="1"/>
    <col min="8" max="8" width="37.44140625" style="16" customWidth="1"/>
    <col min="9" max="9" width="17.5546875" style="16" customWidth="1"/>
    <col min="10" max="10" width="30.44140625" style="16" customWidth="1"/>
    <col min="11" max="12" width="12.6640625" style="16" customWidth="1"/>
    <col min="13" max="13" width="2.6640625" style="16" customWidth="1"/>
    <col min="14" max="16384" width="9.109375" style="14"/>
  </cols>
  <sheetData>
    <row r="1" spans="1:12" x14ac:dyDescent="0.5">
      <c r="B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5">
      <c r="B2" s="222" t="s">
        <v>101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</row>
    <row r="3" spans="1:12" x14ac:dyDescent="0.5"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spans="1:12" x14ac:dyDescent="0.5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</row>
    <row r="5" spans="1:12" x14ac:dyDescent="0.5"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</row>
    <row r="6" spans="1:12" ht="26.4" thickBot="1" x14ac:dyDescent="0.55000000000000004">
      <c r="C6" s="18"/>
      <c r="D6" s="19"/>
    </row>
    <row r="7" spans="1:12" ht="26.4" thickBot="1" x14ac:dyDescent="0.55000000000000004">
      <c r="B7" s="20" t="s">
        <v>29</v>
      </c>
      <c r="C7" s="334" t="s">
        <v>126</v>
      </c>
      <c r="D7" s="335"/>
      <c r="E7" s="21"/>
    </row>
    <row r="8" spans="1:12" ht="26.4" thickBot="1" x14ac:dyDescent="0.55000000000000004">
      <c r="B8" s="22"/>
      <c r="C8" s="23"/>
      <c r="H8" s="18"/>
      <c r="I8" s="18"/>
      <c r="J8" s="25"/>
      <c r="K8" s="25"/>
    </row>
    <row r="9" spans="1:12" ht="26.4" thickBot="1" x14ac:dyDescent="0.55000000000000004">
      <c r="B9" s="26" t="s">
        <v>2</v>
      </c>
      <c r="C9" s="27">
        <v>45959</v>
      </c>
      <c r="D9" s="28"/>
      <c r="E9" s="243"/>
      <c r="F9" s="243"/>
      <c r="H9" s="346" t="s">
        <v>64</v>
      </c>
      <c r="I9" s="299"/>
      <c r="J9" s="334" t="s">
        <v>127</v>
      </c>
      <c r="K9" s="347"/>
      <c r="L9" s="21"/>
    </row>
    <row r="10" spans="1:12" ht="26.4" thickBot="1" x14ac:dyDescent="0.55000000000000004">
      <c r="B10" s="32"/>
      <c r="C10" s="33"/>
      <c r="E10" s="29"/>
      <c r="F10" s="29"/>
      <c r="H10" s="24"/>
      <c r="I10" s="24"/>
      <c r="J10" s="29"/>
      <c r="K10" s="29"/>
    </row>
    <row r="11" spans="1:12" ht="26.4" thickBot="1" x14ac:dyDescent="0.55000000000000004">
      <c r="A11" s="34"/>
      <c r="B11" s="26" t="s">
        <v>4</v>
      </c>
      <c r="C11" s="35">
        <v>45994</v>
      </c>
      <c r="D11" s="36"/>
      <c r="E11" s="243"/>
      <c r="F11" s="243"/>
      <c r="H11" s="24"/>
      <c r="I11" s="243"/>
      <c r="J11" s="243"/>
      <c r="K11" s="243"/>
    </row>
    <row r="12" spans="1:12" ht="26.4" thickBot="1" x14ac:dyDescent="0.55000000000000004">
      <c r="B12" s="37"/>
      <c r="C12" s="37"/>
      <c r="D12" s="38"/>
      <c r="E12" s="29"/>
      <c r="F12" s="29"/>
      <c r="G12" s="18"/>
      <c r="H12" s="19"/>
      <c r="I12" s="19"/>
      <c r="J12" s="25"/>
      <c r="K12" s="25"/>
      <c r="L12" s="18"/>
    </row>
    <row r="13" spans="1:12" ht="26.4" thickBot="1" x14ac:dyDescent="0.55000000000000004">
      <c r="B13" s="39" t="s">
        <v>0</v>
      </c>
      <c r="C13" s="352" t="s">
        <v>128</v>
      </c>
      <c r="D13" s="353"/>
      <c r="E13" s="353"/>
      <c r="F13" s="353"/>
      <c r="G13" s="40" t="s">
        <v>3</v>
      </c>
      <c r="H13" s="358" t="s">
        <v>130</v>
      </c>
      <c r="I13" s="359"/>
      <c r="J13" s="41" t="s">
        <v>30</v>
      </c>
      <c r="K13" s="360">
        <v>43664</v>
      </c>
      <c r="L13" s="361"/>
    </row>
    <row r="14" spans="1:12" ht="26.4" thickBot="1" x14ac:dyDescent="0.55000000000000004">
      <c r="A14" s="34"/>
      <c r="B14" s="39" t="s">
        <v>31</v>
      </c>
      <c r="C14" s="352" t="s">
        <v>129</v>
      </c>
      <c r="D14" s="353"/>
      <c r="E14" s="353"/>
      <c r="F14" s="354"/>
      <c r="G14" s="41" t="s">
        <v>65</v>
      </c>
      <c r="H14" s="350">
        <v>140</v>
      </c>
      <c r="I14" s="351"/>
      <c r="J14" s="40" t="s">
        <v>58</v>
      </c>
      <c r="K14" s="348">
        <v>500000</v>
      </c>
      <c r="L14" s="349"/>
    </row>
    <row r="15" spans="1:12" ht="26.4" thickBot="1" x14ac:dyDescent="0.55000000000000004">
      <c r="A15" s="34"/>
      <c r="B15" s="39" t="s">
        <v>1</v>
      </c>
      <c r="C15" s="352" t="s">
        <v>131</v>
      </c>
      <c r="D15" s="353"/>
      <c r="E15" s="353"/>
      <c r="F15" s="353"/>
      <c r="G15" s="353"/>
      <c r="H15" s="353"/>
      <c r="I15" s="353"/>
      <c r="J15" s="353"/>
      <c r="K15" s="353"/>
      <c r="L15" s="354"/>
    </row>
    <row r="16" spans="1:12" ht="26.4" thickBot="1" x14ac:dyDescent="0.55000000000000004">
      <c r="A16" s="34"/>
      <c r="B16" s="40" t="s">
        <v>17</v>
      </c>
      <c r="C16" s="355" t="s">
        <v>132</v>
      </c>
      <c r="D16" s="356"/>
      <c r="E16" s="356"/>
      <c r="F16" s="356"/>
      <c r="G16" s="356"/>
      <c r="H16" s="356"/>
      <c r="I16" s="356"/>
      <c r="J16" s="356"/>
      <c r="K16" s="356"/>
      <c r="L16" s="357"/>
    </row>
    <row r="17" spans="1:13" ht="26.4" thickBot="1" x14ac:dyDescent="0.55000000000000004">
      <c r="B17" s="42"/>
    </row>
    <row r="18" spans="1:13" ht="26.4" thickBot="1" x14ac:dyDescent="0.55000000000000004">
      <c r="B18" s="43" t="s">
        <v>66</v>
      </c>
      <c r="C18" s="352" t="s">
        <v>133</v>
      </c>
      <c r="D18" s="353"/>
      <c r="E18" s="353"/>
      <c r="F18" s="353"/>
      <c r="G18" s="353"/>
      <c r="H18" s="353"/>
      <c r="I18" s="353"/>
      <c r="J18" s="353"/>
      <c r="K18" s="353"/>
      <c r="L18" s="354"/>
    </row>
    <row r="19" spans="1:13" ht="26.4" thickBot="1" x14ac:dyDescent="0.55000000000000004"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3" ht="26.4" thickBot="1" x14ac:dyDescent="0.55000000000000004">
      <c r="B20" s="346" t="s">
        <v>122</v>
      </c>
      <c r="C20" s="298"/>
      <c r="D20" s="298"/>
      <c r="E20" s="298"/>
      <c r="F20" s="298"/>
      <c r="G20" s="298"/>
      <c r="H20" s="298"/>
      <c r="I20" s="298"/>
      <c r="J20" s="298"/>
      <c r="K20" s="298"/>
      <c r="L20" s="299"/>
    </row>
    <row r="21" spans="1:13" ht="26.4" thickBot="1" x14ac:dyDescent="0.55000000000000004">
      <c r="B21" s="30" t="s">
        <v>15</v>
      </c>
      <c r="C21" s="30" t="s">
        <v>18</v>
      </c>
      <c r="D21" s="30" t="s">
        <v>55</v>
      </c>
      <c r="E21" s="30" t="s">
        <v>80</v>
      </c>
      <c r="F21" s="30" t="s">
        <v>45</v>
      </c>
      <c r="G21" s="47" t="s">
        <v>20</v>
      </c>
      <c r="H21" s="47" t="s">
        <v>19</v>
      </c>
      <c r="I21" s="46" t="s">
        <v>21</v>
      </c>
      <c r="J21" s="30" t="s">
        <v>32</v>
      </c>
      <c r="K21" s="47" t="s">
        <v>23</v>
      </c>
      <c r="L21" s="31" t="s">
        <v>22</v>
      </c>
      <c r="M21" s="21"/>
    </row>
    <row r="22" spans="1:13" x14ac:dyDescent="0.5">
      <c r="A22" s="34"/>
      <c r="B22" s="48" t="s">
        <v>134</v>
      </c>
      <c r="C22" s="220">
        <v>3000000</v>
      </c>
      <c r="D22" s="49"/>
      <c r="E22" s="49"/>
      <c r="F22" s="50"/>
      <c r="G22" s="51"/>
      <c r="H22" s="52"/>
      <c r="I22" s="53"/>
      <c r="J22" s="53"/>
      <c r="K22" s="53"/>
      <c r="L22" s="54"/>
    </row>
    <row r="23" spans="1:13" x14ac:dyDescent="0.5">
      <c r="A23" s="34"/>
      <c r="B23" s="55" t="s">
        <v>135</v>
      </c>
      <c r="C23" s="221">
        <v>500000</v>
      </c>
      <c r="D23" s="57"/>
      <c r="E23" s="57"/>
      <c r="F23" s="58"/>
      <c r="G23" s="59"/>
      <c r="H23" s="60"/>
      <c r="I23" s="61"/>
      <c r="J23" s="61"/>
      <c r="K23" s="61"/>
      <c r="L23" s="62"/>
    </row>
    <row r="24" spans="1:13" x14ac:dyDescent="0.5">
      <c r="A24" s="34"/>
      <c r="B24" s="55"/>
      <c r="C24" s="63"/>
      <c r="D24" s="57"/>
      <c r="E24" s="57"/>
      <c r="F24" s="58"/>
      <c r="G24" s="59"/>
      <c r="H24" s="60"/>
      <c r="I24" s="61"/>
      <c r="J24" s="61"/>
      <c r="K24" s="61"/>
      <c r="L24" s="62"/>
    </row>
    <row r="25" spans="1:13" x14ac:dyDescent="0.5">
      <c r="A25" s="34"/>
      <c r="B25" s="55"/>
      <c r="C25" s="56"/>
      <c r="D25" s="57"/>
      <c r="E25" s="57"/>
      <c r="F25" s="58"/>
      <c r="G25" s="59"/>
      <c r="H25" s="60"/>
      <c r="I25" s="61"/>
      <c r="J25" s="61"/>
      <c r="K25" s="61"/>
      <c r="L25" s="62"/>
    </row>
    <row r="26" spans="1:13" ht="26.4" thickBot="1" x14ac:dyDescent="0.55000000000000004">
      <c r="A26" s="34"/>
      <c r="B26" s="64"/>
      <c r="C26" s="65"/>
      <c r="D26" s="66"/>
      <c r="E26" s="66"/>
      <c r="F26" s="67"/>
      <c r="G26" s="68"/>
      <c r="H26" s="69"/>
      <c r="I26" s="70"/>
      <c r="J26" s="70"/>
      <c r="K26" s="70"/>
      <c r="L26" s="71"/>
    </row>
    <row r="27" spans="1:13" ht="26.4" thickBot="1" x14ac:dyDescent="0.55000000000000004">
      <c r="A27" s="34"/>
      <c r="B27" s="72" t="s">
        <v>13</v>
      </c>
      <c r="C27" s="73">
        <f>SUM(C22:C26)</f>
        <v>3500000</v>
      </c>
      <c r="D27" s="74"/>
      <c r="E27" s="74"/>
      <c r="F27" s="75"/>
      <c r="G27" s="76"/>
      <c r="H27" s="77"/>
      <c r="I27" s="78"/>
      <c r="J27" s="78"/>
      <c r="K27" s="78"/>
      <c r="L27" s="79"/>
    </row>
    <row r="28" spans="1:13" ht="26.4" thickBot="1" x14ac:dyDescent="0.55000000000000004">
      <c r="B28" s="80"/>
      <c r="C28" s="81"/>
      <c r="D28" s="82"/>
      <c r="E28" s="81"/>
      <c r="F28" s="83"/>
      <c r="G28" s="80"/>
      <c r="H28" s="83"/>
      <c r="I28" s="84"/>
      <c r="J28" s="84"/>
      <c r="K28" s="84"/>
      <c r="L28" s="84"/>
    </row>
    <row r="29" spans="1:13" ht="26.4" thickBot="1" x14ac:dyDescent="0.55000000000000004">
      <c r="B29" s="346" t="s">
        <v>81</v>
      </c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1"/>
    </row>
    <row r="30" spans="1:13" x14ac:dyDescent="0.5">
      <c r="B30" s="362" t="s">
        <v>136</v>
      </c>
      <c r="C30" s="363"/>
      <c r="D30" s="363"/>
      <c r="E30" s="363"/>
      <c r="F30" s="363"/>
      <c r="G30" s="363"/>
      <c r="H30" s="363"/>
      <c r="I30" s="363"/>
      <c r="J30" s="363"/>
      <c r="K30" s="363"/>
      <c r="L30" s="364"/>
    </row>
    <row r="31" spans="1:13" x14ac:dyDescent="0.5">
      <c r="B31" s="365"/>
      <c r="C31" s="272"/>
      <c r="D31" s="272"/>
      <c r="E31" s="272"/>
      <c r="F31" s="272"/>
      <c r="G31" s="272"/>
      <c r="H31" s="272"/>
      <c r="I31" s="272"/>
      <c r="J31" s="272"/>
      <c r="K31" s="272"/>
      <c r="L31" s="366"/>
    </row>
    <row r="32" spans="1:13" x14ac:dyDescent="0.5">
      <c r="B32" s="365"/>
      <c r="C32" s="272"/>
      <c r="D32" s="272"/>
      <c r="E32" s="272"/>
      <c r="F32" s="272"/>
      <c r="G32" s="272"/>
      <c r="H32" s="272"/>
      <c r="I32" s="272"/>
      <c r="J32" s="272"/>
      <c r="K32" s="272"/>
      <c r="L32" s="366"/>
    </row>
    <row r="33" spans="1:12" ht="26.4" thickBot="1" x14ac:dyDescent="0.55000000000000004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</row>
    <row r="34" spans="1:12" ht="26.4" thickBot="1" x14ac:dyDescent="0.55000000000000004">
      <c r="B34" s="29"/>
      <c r="C34" s="85"/>
      <c r="D34" s="85"/>
      <c r="E34" s="85"/>
      <c r="F34" s="86"/>
      <c r="G34" s="29"/>
      <c r="H34" s="86"/>
      <c r="I34" s="87"/>
      <c r="J34" s="87"/>
      <c r="K34" s="87"/>
      <c r="L34" s="88"/>
    </row>
    <row r="35" spans="1:12" ht="26.4" thickBot="1" x14ac:dyDescent="0.55000000000000004">
      <c r="B35" s="341" t="s">
        <v>82</v>
      </c>
      <c r="C35" s="342"/>
      <c r="D35" s="343"/>
      <c r="E35" s="339" t="s">
        <v>86</v>
      </c>
      <c r="F35" s="340"/>
      <c r="G35" s="89"/>
      <c r="H35" s="336" t="s">
        <v>94</v>
      </c>
      <c r="I35" s="337"/>
      <c r="J35" s="337"/>
      <c r="K35" s="338"/>
      <c r="L35" s="88"/>
    </row>
    <row r="36" spans="1:12" x14ac:dyDescent="0.5">
      <c r="A36" s="34"/>
      <c r="B36" s="90" t="s">
        <v>83</v>
      </c>
      <c r="C36" s="204"/>
      <c r="D36" s="205"/>
      <c r="E36" s="201" t="s">
        <v>102</v>
      </c>
      <c r="F36" s="91"/>
      <c r="G36" s="89"/>
      <c r="H36" s="92" t="s">
        <v>95</v>
      </c>
      <c r="I36" s="210"/>
      <c r="J36" s="93" t="s">
        <v>88</v>
      </c>
      <c r="K36" s="54"/>
      <c r="L36" s="88"/>
    </row>
    <row r="37" spans="1:12" x14ac:dyDescent="0.5">
      <c r="A37" s="34"/>
      <c r="B37" s="97" t="s">
        <v>84</v>
      </c>
      <c r="C37" s="206"/>
      <c r="D37" s="199"/>
      <c r="E37" s="202" t="s">
        <v>103</v>
      </c>
      <c r="F37" s="94"/>
      <c r="G37" s="89"/>
      <c r="H37" s="95" t="s">
        <v>96</v>
      </c>
      <c r="I37" s="211"/>
      <c r="J37" s="96" t="s">
        <v>89</v>
      </c>
      <c r="K37" s="62"/>
      <c r="L37" s="88"/>
    </row>
    <row r="38" spans="1:12" ht="26.4" thickBot="1" x14ac:dyDescent="0.55000000000000004">
      <c r="A38" s="34"/>
      <c r="B38" s="97" t="s">
        <v>85</v>
      </c>
      <c r="C38" s="207"/>
      <c r="D38" s="199"/>
      <c r="E38" s="202" t="s">
        <v>104</v>
      </c>
      <c r="F38" s="94"/>
      <c r="G38" s="89"/>
      <c r="H38" s="98" t="s">
        <v>97</v>
      </c>
      <c r="I38" s="99"/>
      <c r="J38" s="100" t="s">
        <v>98</v>
      </c>
      <c r="K38" s="101"/>
      <c r="L38" s="88"/>
    </row>
    <row r="39" spans="1:12" x14ac:dyDescent="0.5">
      <c r="A39" s="34"/>
      <c r="B39" s="97" t="s">
        <v>87</v>
      </c>
      <c r="C39" s="207"/>
      <c r="D39" s="199"/>
      <c r="E39" s="202" t="s">
        <v>105</v>
      </c>
      <c r="F39" s="102">
        <v>1</v>
      </c>
      <c r="G39" s="103"/>
      <c r="H39" s="104"/>
      <c r="I39" s="88"/>
      <c r="J39" s="88"/>
      <c r="K39" s="88"/>
      <c r="L39" s="88"/>
    </row>
    <row r="40" spans="1:12" ht="26.4" thickBot="1" x14ac:dyDescent="0.55000000000000004">
      <c r="A40" s="34"/>
      <c r="B40" s="200" t="s">
        <v>120</v>
      </c>
      <c r="C40" s="207"/>
      <c r="D40" s="199"/>
      <c r="E40" s="203" t="s">
        <v>106</v>
      </c>
      <c r="F40" s="105"/>
      <c r="G40" s="29"/>
      <c r="H40" s="104"/>
      <c r="I40" s="88"/>
      <c r="J40" s="88"/>
      <c r="K40" s="88"/>
      <c r="L40" s="88"/>
    </row>
    <row r="41" spans="1:12" ht="26.4" thickBot="1" x14ac:dyDescent="0.55000000000000004">
      <c r="B41" s="90" t="s">
        <v>119</v>
      </c>
      <c r="C41" s="208"/>
      <c r="D41" s="209"/>
    </row>
    <row r="42" spans="1:12" ht="26.4" thickBot="1" x14ac:dyDescent="0.55000000000000004"/>
    <row r="43" spans="1:12" ht="26.4" thickBot="1" x14ac:dyDescent="0.55000000000000004">
      <c r="B43" s="346" t="s">
        <v>54</v>
      </c>
      <c r="C43" s="298"/>
      <c r="D43" s="298"/>
      <c r="E43" s="298"/>
      <c r="F43" s="106"/>
      <c r="G43" s="230" t="s">
        <v>46</v>
      </c>
      <c r="H43" s="239"/>
      <c r="I43" s="231"/>
      <c r="J43" s="230" t="s">
        <v>44</v>
      </c>
      <c r="K43" s="231"/>
      <c r="L43" s="107" t="s">
        <v>107</v>
      </c>
    </row>
    <row r="44" spans="1:12" ht="26.4" thickBot="1" x14ac:dyDescent="0.55000000000000004">
      <c r="A44" s="34"/>
      <c r="B44" s="298" t="s">
        <v>34</v>
      </c>
      <c r="C44" s="298"/>
      <c r="D44" s="299"/>
      <c r="E44" s="47" t="s">
        <v>37</v>
      </c>
      <c r="F44" s="108"/>
      <c r="G44" s="294" t="s">
        <v>141</v>
      </c>
      <c r="H44" s="295"/>
      <c r="I44" s="296"/>
      <c r="J44" s="279" t="s">
        <v>142</v>
      </c>
      <c r="K44" s="309"/>
      <c r="L44" s="109">
        <v>750000</v>
      </c>
    </row>
    <row r="45" spans="1:12" x14ac:dyDescent="0.5">
      <c r="A45" s="34"/>
      <c r="B45" s="300" t="s">
        <v>137</v>
      </c>
      <c r="C45" s="300"/>
      <c r="D45" s="301"/>
      <c r="E45" s="110" t="s">
        <v>138</v>
      </c>
      <c r="F45" s="106"/>
      <c r="G45" s="344" t="s">
        <v>143</v>
      </c>
      <c r="H45" s="345"/>
      <c r="I45" s="345"/>
      <c r="J45" s="332" t="s">
        <v>144</v>
      </c>
      <c r="K45" s="333"/>
      <c r="L45" s="111">
        <v>750000</v>
      </c>
    </row>
    <row r="46" spans="1:12" x14ac:dyDescent="0.5">
      <c r="A46" s="34"/>
      <c r="B46" s="326" t="s">
        <v>139</v>
      </c>
      <c r="C46" s="327"/>
      <c r="D46" s="328"/>
      <c r="E46" s="112" t="s">
        <v>140</v>
      </c>
      <c r="F46" s="106"/>
      <c r="G46" s="227" t="s">
        <v>145</v>
      </c>
      <c r="H46" s="228"/>
      <c r="I46" s="229"/>
      <c r="J46" s="113" t="s">
        <v>146</v>
      </c>
      <c r="K46" s="114"/>
      <c r="L46" s="115">
        <v>500000</v>
      </c>
    </row>
    <row r="47" spans="1:12" ht="26.4" thickBot="1" x14ac:dyDescent="0.55000000000000004">
      <c r="A47" s="34"/>
      <c r="B47" s="302"/>
      <c r="C47" s="302"/>
      <c r="D47" s="303"/>
      <c r="E47" s="116"/>
      <c r="F47" s="117"/>
      <c r="G47" s="118" t="s">
        <v>147</v>
      </c>
      <c r="H47" s="119"/>
      <c r="I47" s="119"/>
      <c r="J47" s="120" t="s">
        <v>149</v>
      </c>
      <c r="K47" s="121"/>
      <c r="L47" s="122">
        <v>750000</v>
      </c>
    </row>
    <row r="48" spans="1:12" ht="26.4" thickBot="1" x14ac:dyDescent="0.55000000000000004"/>
    <row r="49" spans="2:12" ht="26.4" thickBot="1" x14ac:dyDescent="0.55000000000000004">
      <c r="B49" s="230" t="s">
        <v>90</v>
      </c>
      <c r="C49" s="239"/>
      <c r="D49" s="239"/>
      <c r="E49" s="239"/>
      <c r="F49" s="239"/>
      <c r="G49" s="239"/>
      <c r="H49" s="239"/>
      <c r="I49" s="239"/>
      <c r="J49" s="239"/>
      <c r="K49" s="239"/>
      <c r="L49" s="231"/>
    </row>
    <row r="50" spans="2:12" x14ac:dyDescent="0.5">
      <c r="B50" s="268"/>
      <c r="C50" s="269"/>
      <c r="D50" s="269"/>
      <c r="E50" s="269"/>
      <c r="F50" s="269"/>
      <c r="G50" s="269"/>
      <c r="H50" s="269"/>
      <c r="I50" s="269"/>
      <c r="J50" s="269"/>
      <c r="K50" s="269"/>
      <c r="L50" s="270"/>
    </row>
    <row r="51" spans="2:12" x14ac:dyDescent="0.5">
      <c r="B51" s="271"/>
      <c r="C51" s="272"/>
      <c r="D51" s="272"/>
      <c r="E51" s="272"/>
      <c r="F51" s="272"/>
      <c r="G51" s="272"/>
      <c r="H51" s="272"/>
      <c r="I51" s="272"/>
      <c r="J51" s="272"/>
      <c r="K51" s="272"/>
      <c r="L51" s="273"/>
    </row>
    <row r="52" spans="2:12" ht="26.4" thickBot="1" x14ac:dyDescent="0.55000000000000004">
      <c r="B52" s="274"/>
      <c r="C52" s="275"/>
      <c r="D52" s="275"/>
      <c r="E52" s="275"/>
      <c r="F52" s="275"/>
      <c r="G52" s="275"/>
      <c r="H52" s="275"/>
      <c r="I52" s="275"/>
      <c r="J52" s="275"/>
      <c r="K52" s="275"/>
      <c r="L52" s="276"/>
    </row>
    <row r="54" spans="2:12" ht="26.4" thickBot="1" x14ac:dyDescent="0.55000000000000004"/>
    <row r="55" spans="2:12" ht="26.4" thickBot="1" x14ac:dyDescent="0.55000000000000004">
      <c r="B55" s="230" t="s">
        <v>53</v>
      </c>
      <c r="C55" s="239"/>
      <c r="D55" s="239"/>
      <c r="E55" s="239"/>
      <c r="F55" s="239"/>
      <c r="G55" s="239"/>
      <c r="H55" s="239"/>
      <c r="I55" s="239"/>
      <c r="J55" s="239"/>
      <c r="K55" s="239"/>
      <c r="L55" s="231"/>
    </row>
    <row r="56" spans="2:12" ht="26.4" thickBot="1" x14ac:dyDescent="0.55000000000000004">
      <c r="B56" s="230" t="s">
        <v>5</v>
      </c>
      <c r="C56" s="239"/>
      <c r="D56" s="239"/>
      <c r="E56" s="231"/>
      <c r="F56" s="230" t="s">
        <v>6</v>
      </c>
      <c r="G56" s="231"/>
      <c r="H56" s="123" t="s">
        <v>7</v>
      </c>
      <c r="I56" s="230" t="s">
        <v>8</v>
      </c>
      <c r="J56" s="239"/>
      <c r="K56" s="231"/>
      <c r="L56" s="123" t="s">
        <v>33</v>
      </c>
    </row>
    <row r="57" spans="2:12" x14ac:dyDescent="0.5">
      <c r="B57" s="288" t="s">
        <v>150</v>
      </c>
      <c r="C57" s="289"/>
      <c r="D57" s="289"/>
      <c r="E57" s="290"/>
      <c r="F57" s="288" t="s">
        <v>138</v>
      </c>
      <c r="G57" s="290"/>
      <c r="H57" s="212">
        <v>0.33</v>
      </c>
      <c r="I57" s="288" t="s">
        <v>151</v>
      </c>
      <c r="J57" s="289"/>
      <c r="K57" s="290"/>
      <c r="L57" s="125"/>
    </row>
    <row r="58" spans="2:12" x14ac:dyDescent="0.5">
      <c r="B58" s="224" t="s">
        <v>139</v>
      </c>
      <c r="C58" s="225"/>
      <c r="D58" s="225"/>
      <c r="E58" s="226"/>
      <c r="F58" s="224" t="s">
        <v>152</v>
      </c>
      <c r="G58" s="226"/>
      <c r="H58" s="213">
        <v>0.3</v>
      </c>
      <c r="I58" s="224" t="s">
        <v>155</v>
      </c>
      <c r="J58" s="225"/>
      <c r="K58" s="226"/>
      <c r="L58" s="127"/>
    </row>
    <row r="59" spans="2:12" x14ac:dyDescent="0.5">
      <c r="B59" s="224" t="s">
        <v>153</v>
      </c>
      <c r="C59" s="225"/>
      <c r="D59" s="225"/>
      <c r="E59" s="226"/>
      <c r="F59" s="224" t="s">
        <v>154</v>
      </c>
      <c r="G59" s="226"/>
      <c r="H59" s="126">
        <v>0.22</v>
      </c>
      <c r="I59" s="224" t="s">
        <v>155</v>
      </c>
      <c r="J59" s="225"/>
      <c r="K59" s="226"/>
      <c r="L59" s="127"/>
    </row>
    <row r="60" spans="2:12" x14ac:dyDescent="0.5">
      <c r="B60" s="224" t="s">
        <v>156</v>
      </c>
      <c r="C60" s="225"/>
      <c r="D60" s="225"/>
      <c r="E60" s="226"/>
      <c r="F60" s="224" t="s">
        <v>157</v>
      </c>
      <c r="G60" s="226"/>
      <c r="H60" s="126">
        <v>0.15</v>
      </c>
      <c r="I60" s="224"/>
      <c r="J60" s="225"/>
      <c r="K60" s="226"/>
      <c r="L60" s="127"/>
    </row>
    <row r="61" spans="2:12" ht="26.4" thickBot="1" x14ac:dyDescent="0.55000000000000004">
      <c r="B61" s="291"/>
      <c r="C61" s="292"/>
      <c r="D61" s="292"/>
      <c r="E61" s="293"/>
      <c r="F61" s="291"/>
      <c r="G61" s="293"/>
      <c r="H61" s="128"/>
      <c r="I61" s="291"/>
      <c r="J61" s="292"/>
      <c r="K61" s="293"/>
      <c r="L61" s="129"/>
    </row>
    <row r="62" spans="2:12" x14ac:dyDescent="0.5">
      <c r="B62" s="130"/>
      <c r="C62" s="29"/>
      <c r="D62" s="29"/>
      <c r="E62" s="29"/>
      <c r="F62" s="29"/>
      <c r="G62" s="29"/>
      <c r="H62" s="131"/>
      <c r="I62" s="29"/>
      <c r="J62" s="29"/>
      <c r="K62" s="29"/>
    </row>
    <row r="63" spans="2:12" ht="26.4" thickBot="1" x14ac:dyDescent="0.55000000000000004"/>
    <row r="64" spans="2:12" ht="26.4" thickBot="1" x14ac:dyDescent="0.55000000000000004">
      <c r="B64" s="230" t="s">
        <v>52</v>
      </c>
      <c r="C64" s="239"/>
      <c r="D64" s="239"/>
      <c r="E64" s="239"/>
      <c r="F64" s="239"/>
      <c r="G64" s="239"/>
      <c r="H64" s="239"/>
      <c r="I64" s="239"/>
      <c r="J64" s="231"/>
      <c r="K64" s="108"/>
      <c r="L64" s="108"/>
    </row>
    <row r="65" spans="1:13" ht="26.4" thickBot="1" x14ac:dyDescent="0.55000000000000004">
      <c r="B65" s="230" t="s">
        <v>34</v>
      </c>
      <c r="C65" s="239"/>
      <c r="D65" s="239"/>
      <c r="E65" s="231"/>
      <c r="F65" s="230" t="s">
        <v>6</v>
      </c>
      <c r="G65" s="231"/>
      <c r="H65" s="123" t="s">
        <v>7</v>
      </c>
      <c r="I65" s="123" t="s">
        <v>91</v>
      </c>
      <c r="J65" s="123" t="s">
        <v>92</v>
      </c>
      <c r="K65" s="45"/>
      <c r="L65" s="117"/>
    </row>
    <row r="66" spans="1:13" x14ac:dyDescent="0.5">
      <c r="B66" s="288"/>
      <c r="C66" s="289"/>
      <c r="D66" s="289"/>
      <c r="E66" s="290"/>
      <c r="F66" s="288"/>
      <c r="G66" s="290"/>
      <c r="H66" s="124"/>
      <c r="I66" s="132"/>
      <c r="J66" s="133"/>
    </row>
    <row r="67" spans="1:13" x14ac:dyDescent="0.5">
      <c r="B67" s="224"/>
      <c r="C67" s="225"/>
      <c r="D67" s="225"/>
      <c r="E67" s="226"/>
      <c r="F67" s="224"/>
      <c r="G67" s="226"/>
      <c r="H67" s="126"/>
      <c r="I67" s="134"/>
      <c r="J67" s="135"/>
    </row>
    <row r="68" spans="1:13" ht="26.4" thickBot="1" x14ac:dyDescent="0.55000000000000004">
      <c r="B68" s="291"/>
      <c r="C68" s="292"/>
      <c r="D68" s="292"/>
      <c r="E68" s="293"/>
      <c r="F68" s="291"/>
      <c r="G68" s="293"/>
      <c r="H68" s="128"/>
      <c r="I68" s="136"/>
      <c r="J68" s="137"/>
    </row>
    <row r="69" spans="1:13" ht="26.4" thickBot="1" x14ac:dyDescent="0.55000000000000004"/>
    <row r="70" spans="1:13" ht="26.4" thickBot="1" x14ac:dyDescent="0.55000000000000004">
      <c r="B70" s="261" t="s">
        <v>51</v>
      </c>
      <c r="C70" s="262"/>
      <c r="D70" s="262"/>
      <c r="E70" s="262"/>
      <c r="F70" s="262"/>
      <c r="G70" s="262"/>
      <c r="H70" s="262"/>
      <c r="I70" s="262"/>
      <c r="J70" s="262"/>
      <c r="K70" s="262"/>
      <c r="L70" s="263"/>
    </row>
    <row r="71" spans="1:13" ht="26.4" thickBot="1" x14ac:dyDescent="0.55000000000000004">
      <c r="B71" s="230" t="s">
        <v>35</v>
      </c>
      <c r="C71" s="239"/>
      <c r="D71" s="231"/>
      <c r="E71" s="123" t="s">
        <v>36</v>
      </c>
      <c r="F71" s="230" t="s">
        <v>39</v>
      </c>
      <c r="G71" s="231"/>
      <c r="H71" s="230" t="s">
        <v>38</v>
      </c>
      <c r="I71" s="231"/>
      <c r="J71" s="230" t="s">
        <v>40</v>
      </c>
      <c r="K71" s="239"/>
      <c r="L71" s="231"/>
    </row>
    <row r="72" spans="1:13" x14ac:dyDescent="0.5">
      <c r="B72" s="240"/>
      <c r="C72" s="241"/>
      <c r="D72" s="242"/>
      <c r="E72" s="138"/>
      <c r="F72" s="247"/>
      <c r="G72" s="248"/>
      <c r="H72" s="247"/>
      <c r="I72" s="248"/>
      <c r="J72" s="249"/>
      <c r="K72" s="250"/>
      <c r="L72" s="251"/>
    </row>
    <row r="73" spans="1:13" ht="26.4" thickBot="1" x14ac:dyDescent="0.55000000000000004">
      <c r="B73" s="329"/>
      <c r="C73" s="330"/>
      <c r="D73" s="331"/>
      <c r="E73" s="139"/>
      <c r="F73" s="304"/>
      <c r="G73" s="305"/>
      <c r="H73" s="304"/>
      <c r="I73" s="305"/>
      <c r="J73" s="252"/>
      <c r="K73" s="253"/>
      <c r="L73" s="254"/>
    </row>
    <row r="74" spans="1:13" ht="26.4" thickBot="1" x14ac:dyDescent="0.55000000000000004"/>
    <row r="75" spans="1:13" ht="26.4" thickBot="1" x14ac:dyDescent="0.55000000000000004">
      <c r="B75" s="230" t="s">
        <v>50</v>
      </c>
      <c r="C75" s="239"/>
      <c r="D75" s="239"/>
      <c r="E75" s="239"/>
      <c r="F75" s="239"/>
      <c r="G75" s="231"/>
      <c r="H75" s="108"/>
      <c r="I75" s="108"/>
      <c r="J75" s="108"/>
      <c r="K75" s="108"/>
      <c r="L75" s="108"/>
    </row>
    <row r="76" spans="1:13" ht="26.4" thickBot="1" x14ac:dyDescent="0.55000000000000004">
      <c r="B76" s="230" t="s">
        <v>41</v>
      </c>
      <c r="C76" s="239"/>
      <c r="D76" s="231"/>
      <c r="E76" s="239" t="s">
        <v>42</v>
      </c>
      <c r="F76" s="239"/>
      <c r="G76" s="231"/>
      <c r="H76" s="297"/>
      <c r="I76" s="297"/>
      <c r="J76" s="297"/>
      <c r="K76" s="297"/>
      <c r="L76" s="297"/>
    </row>
    <row r="77" spans="1:13" x14ac:dyDescent="0.5">
      <c r="B77" s="240"/>
      <c r="C77" s="241"/>
      <c r="D77" s="242"/>
      <c r="E77" s="244"/>
      <c r="F77" s="245"/>
      <c r="G77" s="246"/>
      <c r="H77" s="255"/>
      <c r="I77" s="255"/>
      <c r="J77" s="256"/>
      <c r="K77" s="256"/>
      <c r="L77" s="256"/>
    </row>
    <row r="78" spans="1:13" x14ac:dyDescent="0.5">
      <c r="B78" s="257"/>
      <c r="C78" s="258"/>
      <c r="D78" s="259"/>
      <c r="E78" s="306"/>
      <c r="F78" s="307"/>
      <c r="G78" s="308"/>
      <c r="H78" s="255"/>
      <c r="I78" s="255"/>
      <c r="J78" s="256"/>
      <c r="K78" s="256"/>
      <c r="L78" s="256"/>
    </row>
    <row r="79" spans="1:13" s="15" customFormat="1" ht="26.4" thickBot="1" x14ac:dyDescent="0.55000000000000004">
      <c r="A79" s="140"/>
      <c r="B79" s="310"/>
      <c r="C79" s="311"/>
      <c r="D79" s="312"/>
      <c r="E79" s="310"/>
      <c r="F79" s="311"/>
      <c r="G79" s="312"/>
      <c r="H79" s="140"/>
      <c r="I79" s="140"/>
      <c r="J79" s="140"/>
      <c r="K79" s="140"/>
      <c r="L79" s="140"/>
      <c r="M79" s="140"/>
    </row>
    <row r="80" spans="1:13" ht="26.4" thickBot="1" x14ac:dyDescent="0.55000000000000004"/>
    <row r="81" spans="2:12" ht="26.4" thickBot="1" x14ac:dyDescent="0.55000000000000004">
      <c r="B81" s="230" t="s">
        <v>124</v>
      </c>
      <c r="C81" s="239"/>
      <c r="D81" s="239"/>
      <c r="E81" s="239"/>
      <c r="F81" s="239"/>
      <c r="G81" s="239"/>
      <c r="H81" s="239"/>
      <c r="I81" s="239"/>
      <c r="J81" s="239"/>
      <c r="K81" s="239"/>
      <c r="L81" s="231"/>
    </row>
    <row r="82" spans="2:12" ht="26.25" customHeight="1" x14ac:dyDescent="0.5">
      <c r="B82" s="268" t="s">
        <v>158</v>
      </c>
      <c r="C82" s="269"/>
      <c r="D82" s="269"/>
      <c r="E82" s="269"/>
      <c r="F82" s="269"/>
      <c r="G82" s="269"/>
      <c r="H82" s="269"/>
      <c r="I82" s="269"/>
      <c r="J82" s="269"/>
      <c r="K82" s="269"/>
      <c r="L82" s="270"/>
    </row>
    <row r="83" spans="2:12" x14ac:dyDescent="0.5">
      <c r="B83" s="271"/>
      <c r="C83" s="272"/>
      <c r="D83" s="272"/>
      <c r="E83" s="272"/>
      <c r="F83" s="272"/>
      <c r="G83" s="272"/>
      <c r="H83" s="272"/>
      <c r="I83" s="272"/>
      <c r="J83" s="272"/>
      <c r="K83" s="272"/>
      <c r="L83" s="273"/>
    </row>
    <row r="84" spans="2:12" x14ac:dyDescent="0.5">
      <c r="B84" s="271"/>
      <c r="C84" s="272"/>
      <c r="D84" s="272"/>
      <c r="E84" s="272"/>
      <c r="F84" s="272"/>
      <c r="G84" s="272"/>
      <c r="H84" s="272"/>
      <c r="I84" s="272"/>
      <c r="J84" s="272"/>
      <c r="K84" s="272"/>
      <c r="L84" s="273"/>
    </row>
    <row r="85" spans="2:12" x14ac:dyDescent="0.5">
      <c r="B85" s="271"/>
      <c r="C85" s="272"/>
      <c r="D85" s="272"/>
      <c r="E85" s="272"/>
      <c r="F85" s="272"/>
      <c r="G85" s="272"/>
      <c r="H85" s="272"/>
      <c r="I85" s="272"/>
      <c r="J85" s="272"/>
      <c r="K85" s="272"/>
      <c r="L85" s="273"/>
    </row>
    <row r="86" spans="2:12" x14ac:dyDescent="0.5">
      <c r="B86" s="271"/>
      <c r="C86" s="272"/>
      <c r="D86" s="272"/>
      <c r="E86" s="272"/>
      <c r="F86" s="272"/>
      <c r="G86" s="272"/>
      <c r="H86" s="272"/>
      <c r="I86" s="272"/>
      <c r="J86" s="272"/>
      <c r="K86" s="272"/>
      <c r="L86" s="273"/>
    </row>
    <row r="87" spans="2:12" x14ac:dyDescent="0.5">
      <c r="B87" s="271"/>
      <c r="C87" s="272"/>
      <c r="D87" s="272"/>
      <c r="E87" s="272"/>
      <c r="F87" s="272"/>
      <c r="G87" s="272"/>
      <c r="H87" s="272"/>
      <c r="I87" s="272"/>
      <c r="J87" s="272"/>
      <c r="K87" s="272"/>
      <c r="L87" s="273"/>
    </row>
    <row r="88" spans="2:12" x14ac:dyDescent="0.5">
      <c r="B88" s="271"/>
      <c r="C88" s="272"/>
      <c r="D88" s="272"/>
      <c r="E88" s="272"/>
      <c r="F88" s="272"/>
      <c r="G88" s="272"/>
      <c r="H88" s="272"/>
      <c r="I88" s="272"/>
      <c r="J88" s="272"/>
      <c r="K88" s="272"/>
      <c r="L88" s="273"/>
    </row>
    <row r="89" spans="2:12" x14ac:dyDescent="0.5">
      <c r="B89" s="271"/>
      <c r="C89" s="272"/>
      <c r="D89" s="272"/>
      <c r="E89" s="272"/>
      <c r="F89" s="272"/>
      <c r="G89" s="272"/>
      <c r="H89" s="272"/>
      <c r="I89" s="272"/>
      <c r="J89" s="272"/>
      <c r="K89" s="272"/>
      <c r="L89" s="273"/>
    </row>
    <row r="90" spans="2:12" x14ac:dyDescent="0.5">
      <c r="B90" s="271"/>
      <c r="C90" s="272"/>
      <c r="D90" s="272"/>
      <c r="E90" s="272"/>
      <c r="F90" s="272"/>
      <c r="G90" s="272"/>
      <c r="H90" s="272"/>
      <c r="I90" s="272"/>
      <c r="J90" s="272"/>
      <c r="K90" s="272"/>
      <c r="L90" s="273"/>
    </row>
    <row r="91" spans="2:12" x14ac:dyDescent="0.5">
      <c r="B91" s="271"/>
      <c r="C91" s="272"/>
      <c r="D91" s="272"/>
      <c r="E91" s="272"/>
      <c r="F91" s="272"/>
      <c r="G91" s="272"/>
      <c r="H91" s="272"/>
      <c r="I91" s="272"/>
      <c r="J91" s="272"/>
      <c r="K91" s="272"/>
      <c r="L91" s="273"/>
    </row>
    <row r="92" spans="2:12" ht="26.4" thickBot="1" x14ac:dyDescent="0.55000000000000004">
      <c r="B92" s="274"/>
      <c r="C92" s="275"/>
      <c r="D92" s="275"/>
      <c r="E92" s="275"/>
      <c r="F92" s="275"/>
      <c r="G92" s="275"/>
      <c r="H92" s="275"/>
      <c r="I92" s="275"/>
      <c r="J92" s="275"/>
      <c r="K92" s="275"/>
      <c r="L92" s="276"/>
    </row>
    <row r="93" spans="2:12" x14ac:dyDescent="0.5">
      <c r="B93" s="277" t="s">
        <v>125</v>
      </c>
      <c r="C93" s="277"/>
      <c r="D93" s="277"/>
      <c r="E93" s="277"/>
      <c r="F93" s="277"/>
      <c r="G93" s="277"/>
      <c r="H93" s="277"/>
      <c r="I93" s="277"/>
      <c r="J93" s="277"/>
      <c r="K93" s="277"/>
      <c r="L93" s="277"/>
    </row>
    <row r="94" spans="2:12" ht="26.4" thickBot="1" x14ac:dyDescent="0.55000000000000004"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</row>
    <row r="95" spans="2:12" ht="26.4" hidden="1" thickBot="1" x14ac:dyDescent="0.55000000000000004">
      <c r="B95" s="230" t="s">
        <v>123</v>
      </c>
      <c r="C95" s="239"/>
      <c r="D95" s="239"/>
      <c r="E95" s="239"/>
      <c r="F95" s="239"/>
      <c r="G95" s="239"/>
      <c r="H95" s="239"/>
      <c r="I95" s="239"/>
      <c r="J95" s="239"/>
      <c r="K95" s="239"/>
      <c r="L95" s="231"/>
    </row>
    <row r="96" spans="2:12" hidden="1" x14ac:dyDescent="0.5">
      <c r="B96" s="268"/>
      <c r="C96" s="269"/>
      <c r="D96" s="269"/>
      <c r="E96" s="269"/>
      <c r="F96" s="269"/>
      <c r="G96" s="269"/>
      <c r="H96" s="269"/>
      <c r="I96" s="269"/>
      <c r="J96" s="269"/>
      <c r="K96" s="269"/>
      <c r="L96" s="270"/>
    </row>
    <row r="97" spans="2:12" hidden="1" x14ac:dyDescent="0.5">
      <c r="B97" s="271"/>
      <c r="C97" s="272"/>
      <c r="D97" s="272"/>
      <c r="E97" s="272"/>
      <c r="F97" s="272"/>
      <c r="G97" s="272"/>
      <c r="H97" s="272"/>
      <c r="I97" s="272"/>
      <c r="J97" s="272"/>
      <c r="K97" s="272"/>
      <c r="L97" s="273"/>
    </row>
    <row r="98" spans="2:12" hidden="1" x14ac:dyDescent="0.5">
      <c r="B98" s="271"/>
      <c r="C98" s="272"/>
      <c r="D98" s="272"/>
      <c r="E98" s="272"/>
      <c r="F98" s="272"/>
      <c r="G98" s="272"/>
      <c r="H98" s="272"/>
      <c r="I98" s="272"/>
      <c r="J98" s="272"/>
      <c r="K98" s="272"/>
      <c r="L98" s="273"/>
    </row>
    <row r="99" spans="2:12" hidden="1" x14ac:dyDescent="0.5">
      <c r="B99" s="271"/>
      <c r="C99" s="272"/>
      <c r="D99" s="272"/>
      <c r="E99" s="272"/>
      <c r="F99" s="272"/>
      <c r="G99" s="272"/>
      <c r="H99" s="272"/>
      <c r="I99" s="272"/>
      <c r="J99" s="272"/>
      <c r="K99" s="272"/>
      <c r="L99" s="273"/>
    </row>
    <row r="100" spans="2:12" hidden="1" x14ac:dyDescent="0.5">
      <c r="B100" s="271"/>
      <c r="C100" s="272"/>
      <c r="D100" s="272"/>
      <c r="E100" s="272"/>
      <c r="F100" s="272"/>
      <c r="G100" s="272"/>
      <c r="H100" s="272"/>
      <c r="I100" s="272"/>
      <c r="J100" s="272"/>
      <c r="K100" s="272"/>
      <c r="L100" s="273"/>
    </row>
    <row r="101" spans="2:12" hidden="1" x14ac:dyDescent="0.5">
      <c r="B101" s="271"/>
      <c r="C101" s="272"/>
      <c r="D101" s="272"/>
      <c r="E101" s="272"/>
      <c r="F101" s="272"/>
      <c r="G101" s="272"/>
      <c r="H101" s="272"/>
      <c r="I101" s="272"/>
      <c r="J101" s="272"/>
      <c r="K101" s="272"/>
      <c r="L101" s="273"/>
    </row>
    <row r="102" spans="2:12" hidden="1" x14ac:dyDescent="0.5">
      <c r="B102" s="271"/>
      <c r="C102" s="272"/>
      <c r="D102" s="272"/>
      <c r="E102" s="272"/>
      <c r="F102" s="272"/>
      <c r="G102" s="272"/>
      <c r="H102" s="272"/>
      <c r="I102" s="272"/>
      <c r="J102" s="272"/>
      <c r="K102" s="272"/>
      <c r="L102" s="273"/>
    </row>
    <row r="103" spans="2:12" hidden="1" x14ac:dyDescent="0.5">
      <c r="B103" s="271"/>
      <c r="C103" s="272"/>
      <c r="D103" s="272"/>
      <c r="E103" s="272"/>
      <c r="F103" s="272"/>
      <c r="G103" s="272"/>
      <c r="H103" s="272"/>
      <c r="I103" s="272"/>
      <c r="J103" s="272"/>
      <c r="K103" s="272"/>
      <c r="L103" s="273"/>
    </row>
    <row r="104" spans="2:12" hidden="1" x14ac:dyDescent="0.5">
      <c r="B104" s="271"/>
      <c r="C104" s="272"/>
      <c r="D104" s="272"/>
      <c r="E104" s="272"/>
      <c r="F104" s="272"/>
      <c r="G104" s="272"/>
      <c r="H104" s="272"/>
      <c r="I104" s="272"/>
      <c r="J104" s="272"/>
      <c r="K104" s="272"/>
      <c r="L104" s="273"/>
    </row>
    <row r="105" spans="2:12" hidden="1" x14ac:dyDescent="0.5">
      <c r="B105" s="271"/>
      <c r="C105" s="272"/>
      <c r="D105" s="272"/>
      <c r="E105" s="272"/>
      <c r="F105" s="272"/>
      <c r="G105" s="272"/>
      <c r="H105" s="272"/>
      <c r="I105" s="272"/>
      <c r="J105" s="272"/>
      <c r="K105" s="272"/>
      <c r="L105" s="273"/>
    </row>
    <row r="106" spans="2:12" ht="26.4" hidden="1" thickBot="1" x14ac:dyDescent="0.55000000000000004">
      <c r="B106" s="274"/>
      <c r="C106" s="275"/>
      <c r="D106" s="275"/>
      <c r="E106" s="275"/>
      <c r="F106" s="275"/>
      <c r="G106" s="275"/>
      <c r="H106" s="275"/>
      <c r="I106" s="275"/>
      <c r="J106" s="275"/>
      <c r="K106" s="275"/>
      <c r="L106" s="276"/>
    </row>
    <row r="108" spans="2:12" hidden="1" x14ac:dyDescent="0.5"/>
    <row r="109" spans="2:12" ht="26.4" thickBot="1" x14ac:dyDescent="0.55000000000000004"/>
    <row r="110" spans="2:12" ht="26.4" thickBot="1" x14ac:dyDescent="0.55000000000000004">
      <c r="B110" s="264" t="s">
        <v>27</v>
      </c>
      <c r="C110" s="265"/>
      <c r="D110" s="265"/>
      <c r="E110" s="265"/>
      <c r="F110" s="123" t="s">
        <v>24</v>
      </c>
      <c r="G110" s="29"/>
      <c r="J110" s="243"/>
      <c r="K110" s="243"/>
      <c r="L110" s="29"/>
    </row>
    <row r="111" spans="2:12" x14ac:dyDescent="0.5">
      <c r="B111" s="266" t="s">
        <v>159</v>
      </c>
      <c r="C111" s="267"/>
      <c r="D111" s="267"/>
      <c r="E111" s="267"/>
      <c r="F111" s="141">
        <v>1</v>
      </c>
      <c r="G111" s="29"/>
      <c r="J111" s="243"/>
      <c r="K111" s="243"/>
      <c r="L111" s="29"/>
    </row>
    <row r="112" spans="2:12" x14ac:dyDescent="0.5">
      <c r="B112" s="266"/>
      <c r="C112" s="267"/>
      <c r="D112" s="267"/>
      <c r="E112" s="267"/>
      <c r="F112" s="141"/>
      <c r="G112" s="243"/>
      <c r="H112" s="243"/>
      <c r="I112" s="131"/>
      <c r="J112" s="243"/>
      <c r="K112" s="243"/>
      <c r="L112" s="29"/>
    </row>
    <row r="113" spans="2:12" x14ac:dyDescent="0.5">
      <c r="B113" s="266"/>
      <c r="C113" s="267"/>
      <c r="D113" s="267"/>
      <c r="E113" s="267"/>
      <c r="F113" s="141"/>
      <c r="G113" s="243"/>
      <c r="H113" s="243"/>
      <c r="I113" s="131"/>
      <c r="J113" s="29"/>
      <c r="K113" s="29"/>
      <c r="L113" s="29"/>
    </row>
    <row r="114" spans="2:12" ht="26.4" thickBot="1" x14ac:dyDescent="0.55000000000000004">
      <c r="B114" s="291"/>
      <c r="C114" s="292"/>
      <c r="D114" s="292"/>
      <c r="E114" s="292"/>
      <c r="F114" s="142"/>
      <c r="G114" s="243"/>
      <c r="H114" s="243"/>
      <c r="I114" s="131"/>
      <c r="J114" s="29"/>
      <c r="K114" s="29"/>
      <c r="L114" s="29"/>
    </row>
    <row r="115" spans="2:12" ht="26.4" thickBot="1" x14ac:dyDescent="0.55000000000000004">
      <c r="B115" s="37"/>
      <c r="C115" s="37"/>
      <c r="E115" s="37"/>
      <c r="F115" s="37"/>
      <c r="G115" s="37"/>
      <c r="H115" s="29"/>
      <c r="I115" s="29"/>
      <c r="J115" s="29"/>
      <c r="K115" s="29"/>
      <c r="L115" s="29"/>
    </row>
    <row r="116" spans="2:12" ht="26.4" thickBot="1" x14ac:dyDescent="0.55000000000000004">
      <c r="B116" s="230" t="s">
        <v>47</v>
      </c>
      <c r="C116" s="239"/>
      <c r="D116" s="239"/>
      <c r="E116" s="239"/>
      <c r="F116" s="239"/>
      <c r="G116" s="231"/>
      <c r="L116" s="29"/>
    </row>
    <row r="117" spans="2:12" ht="26.4" thickBot="1" x14ac:dyDescent="0.55000000000000004">
      <c r="B117" s="143" t="s">
        <v>109</v>
      </c>
      <c r="C117" s="123" t="s">
        <v>93</v>
      </c>
      <c r="D117" s="123" t="s">
        <v>24</v>
      </c>
      <c r="E117" s="322" t="s">
        <v>108</v>
      </c>
      <c r="F117" s="323"/>
      <c r="G117" s="144" t="s">
        <v>117</v>
      </c>
      <c r="H117" s="260"/>
      <c r="I117" s="260"/>
      <c r="J117" s="260"/>
      <c r="K117" s="117"/>
      <c r="L117" s="29"/>
    </row>
    <row r="118" spans="2:12" x14ac:dyDescent="0.5">
      <c r="B118" s="145" t="s">
        <v>25</v>
      </c>
      <c r="C118" s="125">
        <v>50</v>
      </c>
      <c r="D118" s="146">
        <v>0.71</v>
      </c>
      <c r="E118" s="313" t="s">
        <v>110</v>
      </c>
      <c r="F118" s="314"/>
      <c r="G118" s="315"/>
      <c r="J118" s="130"/>
      <c r="K118" s="147"/>
      <c r="L118" s="29"/>
    </row>
    <row r="119" spans="2:12" x14ac:dyDescent="0.5">
      <c r="B119" s="148" t="s">
        <v>26</v>
      </c>
      <c r="C119" s="127"/>
      <c r="D119" s="149"/>
      <c r="E119" s="316"/>
      <c r="F119" s="317"/>
      <c r="G119" s="318"/>
      <c r="J119" s="130"/>
      <c r="K119" s="147"/>
      <c r="L119" s="29"/>
    </row>
    <row r="120" spans="2:12" x14ac:dyDescent="0.5">
      <c r="B120" s="148" t="s">
        <v>57</v>
      </c>
      <c r="C120" s="168"/>
      <c r="D120" s="149">
        <v>0.09</v>
      </c>
      <c r="E120" s="316"/>
      <c r="F120" s="317"/>
      <c r="G120" s="318"/>
      <c r="I120" s="23"/>
      <c r="J120" s="23"/>
      <c r="K120" s="147"/>
      <c r="L120" s="29"/>
    </row>
    <row r="121" spans="2:12" x14ac:dyDescent="0.5">
      <c r="B121" s="148" t="s">
        <v>28</v>
      </c>
      <c r="C121" s="150"/>
      <c r="D121" s="149"/>
      <c r="E121" s="316"/>
      <c r="F121" s="317"/>
      <c r="G121" s="318"/>
      <c r="H121" s="232"/>
      <c r="I121" s="232"/>
      <c r="J121" s="232"/>
      <c r="K121" s="147"/>
      <c r="L121" s="29"/>
    </row>
    <row r="122" spans="2:12" ht="26.4" thickBot="1" x14ac:dyDescent="0.55000000000000004">
      <c r="B122" s="151" t="s">
        <v>160</v>
      </c>
      <c r="C122" s="169"/>
      <c r="D122" s="152">
        <v>0.2</v>
      </c>
      <c r="E122" s="319"/>
      <c r="F122" s="320"/>
      <c r="G122" s="321"/>
      <c r="H122" s="232"/>
      <c r="I122" s="232"/>
      <c r="J122" s="232"/>
      <c r="K122" s="147"/>
      <c r="L122" s="29"/>
    </row>
    <row r="123" spans="2:12" ht="26.4" thickBot="1" x14ac:dyDescent="0.55000000000000004"/>
    <row r="124" spans="2:12" ht="26.4" thickBot="1" x14ac:dyDescent="0.55000000000000004">
      <c r="B124" s="230" t="s">
        <v>48</v>
      </c>
      <c r="C124" s="239"/>
      <c r="D124" s="239"/>
      <c r="E124" s="239"/>
      <c r="F124" s="239"/>
      <c r="G124" s="231"/>
      <c r="L124" s="29"/>
    </row>
    <row r="125" spans="2:12" ht="26.4" thickBot="1" x14ac:dyDescent="0.55000000000000004">
      <c r="B125" s="143" t="s">
        <v>109</v>
      </c>
      <c r="C125" s="123" t="s">
        <v>93</v>
      </c>
      <c r="D125" s="123" t="s">
        <v>24</v>
      </c>
      <c r="E125" s="153"/>
      <c r="F125" s="154"/>
      <c r="G125" s="155"/>
      <c r="H125" s="260"/>
      <c r="I125" s="260"/>
      <c r="J125" s="260"/>
      <c r="K125" s="117"/>
      <c r="L125" s="29"/>
    </row>
    <row r="126" spans="2:12" x14ac:dyDescent="0.5">
      <c r="B126" s="145" t="s">
        <v>111</v>
      </c>
      <c r="C126" s="125"/>
      <c r="D126" s="156"/>
      <c r="E126" s="157"/>
      <c r="F126" s="158"/>
      <c r="G126" s="159"/>
      <c r="H126" s="232"/>
      <c r="I126" s="232"/>
      <c r="J126" s="232"/>
      <c r="K126" s="147"/>
      <c r="L126" s="29"/>
    </row>
    <row r="127" spans="2:12" ht="26.4" thickBot="1" x14ac:dyDescent="0.55000000000000004">
      <c r="B127" s="160" t="s">
        <v>28</v>
      </c>
      <c r="C127" s="161" t="s">
        <v>112</v>
      </c>
      <c r="D127" s="162"/>
      <c r="E127" s="163"/>
      <c r="F127" s="164"/>
      <c r="G127" s="165"/>
      <c r="H127" s="232"/>
      <c r="I127" s="232"/>
      <c r="J127" s="232"/>
      <c r="K127" s="147"/>
      <c r="L127" s="29"/>
    </row>
    <row r="128" spans="2:12" ht="26.4" thickBot="1" x14ac:dyDescent="0.55000000000000004">
      <c r="B128" s="166" t="s">
        <v>43</v>
      </c>
      <c r="C128" s="324"/>
      <c r="D128" s="324"/>
      <c r="E128" s="324"/>
      <c r="F128" s="324"/>
      <c r="G128" s="325"/>
      <c r="H128" s="232"/>
      <c r="I128" s="232"/>
      <c r="J128" s="232"/>
      <c r="K128" s="147"/>
      <c r="L128" s="29"/>
    </row>
    <row r="129" spans="2:12" ht="26.4" thickBot="1" x14ac:dyDescent="0.55000000000000004"/>
    <row r="130" spans="2:12" ht="26.4" thickBot="1" x14ac:dyDescent="0.55000000000000004">
      <c r="B130" s="230" t="s">
        <v>10</v>
      </c>
      <c r="C130" s="239"/>
      <c r="D130" s="239"/>
      <c r="E130" s="239"/>
      <c r="F130" s="239"/>
      <c r="G130" s="239"/>
      <c r="H130" s="239"/>
      <c r="I130" s="239"/>
      <c r="J130" s="231"/>
      <c r="K130" s="29"/>
      <c r="L130" s="29"/>
    </row>
    <row r="131" spans="2:12" ht="26.4" thickBot="1" x14ac:dyDescent="0.55000000000000004">
      <c r="B131" s="261" t="s">
        <v>34</v>
      </c>
      <c r="C131" s="262"/>
      <c r="D131" s="262"/>
      <c r="E131" s="263"/>
      <c r="F131" s="261" t="s">
        <v>44</v>
      </c>
      <c r="G131" s="262"/>
      <c r="H131" s="263"/>
      <c r="I131" s="107" t="s">
        <v>11</v>
      </c>
      <c r="J131" s="107" t="s">
        <v>99</v>
      </c>
      <c r="K131" s="29"/>
      <c r="L131" s="29"/>
    </row>
    <row r="132" spans="2:12" x14ac:dyDescent="0.5">
      <c r="B132" s="288" t="s">
        <v>141</v>
      </c>
      <c r="C132" s="289"/>
      <c r="D132" s="289"/>
      <c r="E132" s="290"/>
      <c r="F132" s="279" t="s">
        <v>142</v>
      </c>
      <c r="G132" s="280"/>
      <c r="H132" s="281"/>
      <c r="I132" s="167">
        <v>0.09</v>
      </c>
      <c r="J132" s="167" t="s">
        <v>57</v>
      </c>
      <c r="K132" s="29"/>
      <c r="L132" s="29"/>
    </row>
    <row r="133" spans="2:12" x14ac:dyDescent="0.5">
      <c r="B133" s="224" t="s">
        <v>143</v>
      </c>
      <c r="C133" s="225"/>
      <c r="D133" s="225"/>
      <c r="E133" s="226"/>
      <c r="F133" s="282" t="s">
        <v>144</v>
      </c>
      <c r="G133" s="283"/>
      <c r="H133" s="284"/>
      <c r="I133" s="168">
        <v>7.0000000000000007E-2</v>
      </c>
      <c r="J133" s="168" t="s">
        <v>57</v>
      </c>
      <c r="K133" s="29"/>
      <c r="L133" s="29"/>
    </row>
    <row r="134" spans="2:12" x14ac:dyDescent="0.5">
      <c r="B134" s="224" t="s">
        <v>145</v>
      </c>
      <c r="C134" s="225"/>
      <c r="D134" s="225"/>
      <c r="E134" s="226"/>
      <c r="F134" s="282" t="s">
        <v>146</v>
      </c>
      <c r="G134" s="283"/>
      <c r="H134" s="284"/>
      <c r="I134" s="168">
        <v>0.05</v>
      </c>
      <c r="J134" s="168" t="s">
        <v>161</v>
      </c>
      <c r="K134" s="29"/>
      <c r="L134" s="29"/>
    </row>
    <row r="135" spans="2:12" ht="26.4" thickBot="1" x14ac:dyDescent="0.55000000000000004">
      <c r="B135" s="291" t="s">
        <v>162</v>
      </c>
      <c r="C135" s="292"/>
      <c r="D135" s="292"/>
      <c r="E135" s="293"/>
      <c r="F135" s="285" t="s">
        <v>148</v>
      </c>
      <c r="G135" s="286"/>
      <c r="H135" s="287"/>
      <c r="I135" s="169">
        <v>0.05</v>
      </c>
      <c r="J135" s="169" t="s">
        <v>161</v>
      </c>
      <c r="K135" s="29"/>
      <c r="L135" s="29"/>
    </row>
    <row r="136" spans="2:12" ht="26.4" thickBot="1" x14ac:dyDescent="0.55000000000000004"/>
    <row r="137" spans="2:12" ht="26.4" thickBot="1" x14ac:dyDescent="0.55000000000000004">
      <c r="B137" s="230" t="s">
        <v>14</v>
      </c>
      <c r="C137" s="239"/>
      <c r="D137" s="231"/>
      <c r="E137" s="45"/>
      <c r="F137" s="45"/>
      <c r="G137" s="29"/>
      <c r="H137" s="260"/>
      <c r="I137" s="260"/>
      <c r="J137" s="260"/>
      <c r="K137" s="117"/>
      <c r="L137" s="29"/>
    </row>
    <row r="138" spans="2:12" ht="26.4" thickBot="1" x14ac:dyDescent="0.55000000000000004">
      <c r="B138" s="143" t="s">
        <v>113</v>
      </c>
      <c r="C138" s="123" t="s">
        <v>118</v>
      </c>
      <c r="D138" s="143" t="s">
        <v>114</v>
      </c>
      <c r="E138" s="45"/>
      <c r="F138" s="45"/>
      <c r="G138" s="29"/>
      <c r="H138" s="260"/>
      <c r="I138" s="260"/>
      <c r="J138" s="260"/>
      <c r="K138" s="117"/>
      <c r="L138" s="29"/>
    </row>
    <row r="139" spans="2:12" x14ac:dyDescent="0.5">
      <c r="B139" s="145" t="s">
        <v>28</v>
      </c>
      <c r="C139" s="167">
        <v>0.2</v>
      </c>
      <c r="D139" s="170"/>
      <c r="E139" s="23"/>
      <c r="F139" s="158"/>
      <c r="G139" s="29"/>
      <c r="K139" s="171"/>
      <c r="L139" s="29"/>
    </row>
    <row r="140" spans="2:12" ht="26.4" thickBot="1" x14ac:dyDescent="0.55000000000000004">
      <c r="B140" s="160" t="s">
        <v>49</v>
      </c>
      <c r="C140" s="169">
        <v>0.6</v>
      </c>
      <c r="D140" s="162">
        <v>50</v>
      </c>
      <c r="E140" s="23"/>
      <c r="F140" s="158"/>
      <c r="G140" s="29"/>
      <c r="H140" s="232"/>
      <c r="I140" s="232"/>
      <c r="J140" s="232"/>
      <c r="K140" s="147"/>
      <c r="L140" s="29"/>
    </row>
    <row r="141" spans="2:12" ht="26.4" thickBot="1" x14ac:dyDescent="0.55000000000000004">
      <c r="B141" s="166" t="s">
        <v>56</v>
      </c>
      <c r="C141" s="373">
        <v>0.2</v>
      </c>
      <c r="D141" s="223"/>
      <c r="E141" s="23"/>
      <c r="F141" s="158"/>
      <c r="G141" s="29"/>
      <c r="H141" s="232"/>
      <c r="I141" s="232"/>
      <c r="J141" s="232"/>
      <c r="K141" s="147"/>
      <c r="L141" s="29"/>
    </row>
    <row r="142" spans="2:12" ht="26.4" thickBot="1" x14ac:dyDescent="0.55000000000000004"/>
    <row r="143" spans="2:12" ht="26.4" thickBot="1" x14ac:dyDescent="0.55000000000000004">
      <c r="B143" s="230" t="s">
        <v>12</v>
      </c>
      <c r="C143" s="239"/>
      <c r="D143" s="239"/>
      <c r="E143" s="239"/>
      <c r="F143" s="239"/>
      <c r="G143" s="239"/>
      <c r="H143" s="239"/>
      <c r="I143" s="231"/>
      <c r="J143" s="29"/>
      <c r="K143" s="29"/>
      <c r="L143" s="29"/>
    </row>
    <row r="144" spans="2:12" ht="26.4" thickBot="1" x14ac:dyDescent="0.55000000000000004">
      <c r="B144" s="261" t="s">
        <v>34</v>
      </c>
      <c r="C144" s="262"/>
      <c r="D144" s="262"/>
      <c r="E144" s="263"/>
      <c r="F144" s="261" t="s">
        <v>44</v>
      </c>
      <c r="G144" s="262"/>
      <c r="H144" s="263"/>
      <c r="I144" s="107" t="s">
        <v>11</v>
      </c>
      <c r="J144" s="29"/>
      <c r="K144" s="29"/>
      <c r="L144" s="29"/>
    </row>
    <row r="145" spans="2:12" x14ac:dyDescent="0.5">
      <c r="B145" s="288" t="s">
        <v>164</v>
      </c>
      <c r="C145" s="289"/>
      <c r="D145" s="289"/>
      <c r="E145" s="290"/>
      <c r="F145" s="279" t="s">
        <v>163</v>
      </c>
      <c r="G145" s="280"/>
      <c r="H145" s="281"/>
      <c r="I145" s="146">
        <v>0.2</v>
      </c>
      <c r="J145" s="29"/>
      <c r="K145" s="29"/>
      <c r="L145" s="29"/>
    </row>
    <row r="146" spans="2:12" x14ac:dyDescent="0.5">
      <c r="B146" s="224" t="s">
        <v>165</v>
      </c>
      <c r="C146" s="225"/>
      <c r="D146" s="225"/>
      <c r="E146" s="226"/>
      <c r="F146" s="282" t="s">
        <v>166</v>
      </c>
      <c r="G146" s="283"/>
      <c r="H146" s="284"/>
      <c r="I146" s="149">
        <v>0.2</v>
      </c>
      <c r="J146" s="29"/>
      <c r="K146" s="29"/>
      <c r="L146" s="29"/>
    </row>
    <row r="147" spans="2:12" x14ac:dyDescent="0.5">
      <c r="B147" s="224" t="s">
        <v>167</v>
      </c>
      <c r="C147" s="225"/>
      <c r="D147" s="225"/>
      <c r="E147" s="226"/>
      <c r="F147" s="282" t="s">
        <v>168</v>
      </c>
      <c r="G147" s="283"/>
      <c r="H147" s="284"/>
      <c r="I147" s="149">
        <v>0.2</v>
      </c>
      <c r="J147" s="29"/>
      <c r="K147" s="29"/>
      <c r="L147" s="29"/>
    </row>
    <row r="148" spans="2:12" ht="26.4" thickBot="1" x14ac:dyDescent="0.55000000000000004">
      <c r="B148" s="291"/>
      <c r="C148" s="292"/>
      <c r="D148" s="292"/>
      <c r="E148" s="293"/>
      <c r="F148" s="285"/>
      <c r="G148" s="286"/>
      <c r="H148" s="287"/>
      <c r="I148" s="152"/>
      <c r="J148" s="29"/>
      <c r="K148" s="29"/>
      <c r="L148" s="29"/>
    </row>
    <row r="149" spans="2:12" x14ac:dyDescent="0.5">
      <c r="B149" s="29"/>
      <c r="C149" s="29"/>
      <c r="E149" s="29"/>
      <c r="G149" s="29"/>
      <c r="H149" s="29"/>
      <c r="I149" s="29"/>
      <c r="J149" s="29"/>
      <c r="K149" s="29"/>
      <c r="L149" s="29"/>
    </row>
    <row r="150" spans="2:12" x14ac:dyDescent="0.5">
      <c r="B150" s="176"/>
      <c r="C150" s="176"/>
      <c r="D150" s="177"/>
      <c r="E150" s="175"/>
      <c r="F150" s="175"/>
      <c r="G150" s="175"/>
      <c r="H150" s="175"/>
      <c r="I150" s="175"/>
      <c r="J150" s="175"/>
      <c r="K150" s="175"/>
      <c r="L150" s="175"/>
    </row>
    <row r="151" spans="2:12" ht="26.4" thickBot="1" x14ac:dyDescent="0.55000000000000004">
      <c r="B151" s="176"/>
      <c r="C151" s="176"/>
      <c r="D151" s="177"/>
      <c r="E151" s="175"/>
      <c r="F151" s="175"/>
      <c r="G151" s="175"/>
      <c r="H151" s="175"/>
      <c r="I151" s="175"/>
      <c r="J151" s="175"/>
      <c r="K151" s="175"/>
      <c r="L151" s="175"/>
    </row>
    <row r="152" spans="2:12" ht="26.4" thickBot="1" x14ac:dyDescent="0.55000000000000004">
      <c r="B152" s="233" t="s">
        <v>121</v>
      </c>
      <c r="C152" s="234"/>
      <c r="D152" s="172" t="s">
        <v>115</v>
      </c>
      <c r="E152" s="178">
        <v>45627</v>
      </c>
      <c r="G152" s="45"/>
      <c r="H152" s="45"/>
      <c r="I152" s="173"/>
      <c r="J152" s="173"/>
      <c r="K152" s="173"/>
      <c r="L152" s="174"/>
    </row>
    <row r="153" spans="2:12" ht="26.4" thickBot="1" x14ac:dyDescent="0.55000000000000004">
      <c r="B153" s="179" t="s">
        <v>60</v>
      </c>
      <c r="C153" s="180">
        <v>54412</v>
      </c>
      <c r="D153" s="181" t="s">
        <v>116</v>
      </c>
      <c r="E153" s="16">
        <v>33619049</v>
      </c>
      <c r="G153" s="182"/>
      <c r="H153" s="183"/>
      <c r="I153" s="173"/>
      <c r="J153" s="173"/>
      <c r="K153" s="173"/>
      <c r="L153" s="174"/>
    </row>
    <row r="154" spans="2:12" x14ac:dyDescent="0.5">
      <c r="B154" s="184" t="s">
        <v>59</v>
      </c>
      <c r="C154" s="214">
        <v>15312746</v>
      </c>
      <c r="D154" s="185" t="s">
        <v>100</v>
      </c>
      <c r="E154" s="217">
        <v>0</v>
      </c>
      <c r="G154" s="182"/>
      <c r="H154" s="183"/>
      <c r="I154" s="173"/>
      <c r="J154" s="173"/>
      <c r="K154" s="173"/>
      <c r="L154" s="174"/>
    </row>
    <row r="155" spans="2:12" x14ac:dyDescent="0.5">
      <c r="B155" s="185" t="s">
        <v>9</v>
      </c>
      <c r="C155" s="214">
        <v>25571397</v>
      </c>
      <c r="D155" s="185" t="s">
        <v>14</v>
      </c>
      <c r="E155" s="218">
        <v>8924437</v>
      </c>
      <c r="F155" s="173"/>
      <c r="G155" s="182"/>
      <c r="H155" s="183"/>
      <c r="J155" s="173"/>
      <c r="K155" s="173"/>
      <c r="L155" s="174"/>
    </row>
    <row r="156" spans="2:12" ht="26.4" thickBot="1" x14ac:dyDescent="0.55000000000000004">
      <c r="B156" s="186" t="s">
        <v>61</v>
      </c>
      <c r="C156" s="215">
        <v>1101311</v>
      </c>
      <c r="D156" s="187" t="s">
        <v>62</v>
      </c>
      <c r="E156" s="218">
        <v>140500</v>
      </c>
      <c r="G156" s="188"/>
      <c r="H156" s="183"/>
      <c r="I156" s="173"/>
      <c r="J156" s="173"/>
      <c r="K156" s="173"/>
      <c r="L156" s="174"/>
    </row>
    <row r="157" spans="2:12" ht="26.4" thickBot="1" x14ac:dyDescent="0.55000000000000004">
      <c r="B157" s="189"/>
      <c r="C157" s="216">
        <f>IFERROR(SUM(C153:C156),)</f>
        <v>42039866</v>
      </c>
      <c r="D157" s="190"/>
      <c r="E157" s="219" t="e">
        <f>E154+E155+E156+#REF!</f>
        <v>#REF!</v>
      </c>
      <c r="F157" s="173"/>
      <c r="G157" s="173"/>
      <c r="H157" s="173"/>
      <c r="I157" s="173"/>
      <c r="J157" s="173"/>
      <c r="K157" s="173"/>
      <c r="L157" s="174"/>
    </row>
    <row r="158" spans="2:12" ht="26.4" thickBot="1" x14ac:dyDescent="0.55000000000000004">
      <c r="B158" s="29"/>
      <c r="C158" s="29"/>
      <c r="E158" s="191"/>
      <c r="F158" s="192"/>
      <c r="G158" s="29"/>
      <c r="H158" s="191"/>
      <c r="I158" s="29"/>
      <c r="J158" s="29"/>
      <c r="K158" s="29"/>
      <c r="L158" s="29"/>
    </row>
    <row r="159" spans="2:12" ht="26.4" thickBot="1" x14ac:dyDescent="0.55000000000000004">
      <c r="B159" s="235" t="s">
        <v>16</v>
      </c>
      <c r="C159" s="236"/>
      <c r="D159" s="237">
        <f>IFERROR(C157-E157,)</f>
        <v>0</v>
      </c>
      <c r="E159" s="238"/>
      <c r="H159" s="191"/>
      <c r="I159" s="29"/>
      <c r="L159" s="29"/>
    </row>
    <row r="160" spans="2:12" x14ac:dyDescent="0.5">
      <c r="B160" s="29"/>
      <c r="C160" s="29"/>
      <c r="F160" s="191"/>
      <c r="G160" s="29"/>
      <c r="H160" s="191"/>
      <c r="I160" s="29"/>
      <c r="J160" s="29"/>
      <c r="K160" s="29"/>
      <c r="L160" s="29"/>
    </row>
    <row r="161" spans="1:13" s="15" customFormat="1" x14ac:dyDescent="0.5">
      <c r="A161" s="140"/>
      <c r="B161" s="45" t="s">
        <v>63</v>
      </c>
      <c r="C161" s="45"/>
      <c r="D161" s="193"/>
      <c r="E161" s="194"/>
      <c r="F161" s="195"/>
      <c r="G161" s="195"/>
      <c r="H161" s="195"/>
      <c r="I161" s="195"/>
      <c r="J161" s="195"/>
      <c r="K161" s="195"/>
      <c r="L161" s="194"/>
      <c r="M161" s="140"/>
    </row>
    <row r="162" spans="1:13" s="15" customFormat="1" x14ac:dyDescent="0.5">
      <c r="A162" s="140"/>
      <c r="B162" s="193"/>
      <c r="C162" s="193"/>
      <c r="D162" s="196"/>
      <c r="E162" s="197"/>
      <c r="F162" s="198"/>
      <c r="G162" s="197"/>
      <c r="H162" s="197"/>
      <c r="I162" s="197"/>
      <c r="J162" s="197"/>
      <c r="K162" s="197"/>
      <c r="L162" s="197"/>
      <c r="M162" s="140"/>
    </row>
    <row r="163" spans="1:13" x14ac:dyDescent="0.5">
      <c r="B163" s="29"/>
      <c r="C163" s="29"/>
      <c r="E163" s="29"/>
      <c r="G163" s="29"/>
      <c r="H163" s="29"/>
      <c r="I163" s="29"/>
      <c r="J163" s="29"/>
      <c r="K163" s="29"/>
      <c r="L163" s="29"/>
    </row>
  </sheetData>
  <mergeCells count="149">
    <mergeCell ref="C7:D7"/>
    <mergeCell ref="H35:K35"/>
    <mergeCell ref="E35:F35"/>
    <mergeCell ref="B35:D35"/>
    <mergeCell ref="G45:I45"/>
    <mergeCell ref="J43:K43"/>
    <mergeCell ref="B43:E43"/>
    <mergeCell ref="H9:I9"/>
    <mergeCell ref="J9:K9"/>
    <mergeCell ref="E9:F9"/>
    <mergeCell ref="E11:F11"/>
    <mergeCell ref="K14:L14"/>
    <mergeCell ref="H14:I14"/>
    <mergeCell ref="C13:F13"/>
    <mergeCell ref="C14:F14"/>
    <mergeCell ref="C15:L15"/>
    <mergeCell ref="C18:L18"/>
    <mergeCell ref="C16:L16"/>
    <mergeCell ref="I11:K11"/>
    <mergeCell ref="B20:L20"/>
    <mergeCell ref="H13:I13"/>
    <mergeCell ref="K13:L13"/>
    <mergeCell ref="B29:L29"/>
    <mergeCell ref="B30:L33"/>
    <mergeCell ref="F59:G59"/>
    <mergeCell ref="F60:G60"/>
    <mergeCell ref="B65:E65"/>
    <mergeCell ref="F65:G65"/>
    <mergeCell ref="B61:E61"/>
    <mergeCell ref="B59:E59"/>
    <mergeCell ref="B60:E60"/>
    <mergeCell ref="J45:K45"/>
    <mergeCell ref="I61:K61"/>
    <mergeCell ref="I56:K56"/>
    <mergeCell ref="B64:J64"/>
    <mergeCell ref="I59:K59"/>
    <mergeCell ref="I60:K60"/>
    <mergeCell ref="B55:L55"/>
    <mergeCell ref="I57:K57"/>
    <mergeCell ref="I58:K58"/>
    <mergeCell ref="F56:G56"/>
    <mergeCell ref="B56:E56"/>
    <mergeCell ref="B57:E57"/>
    <mergeCell ref="B58:E58"/>
    <mergeCell ref="G43:I43"/>
    <mergeCell ref="B79:D79"/>
    <mergeCell ref="E79:G79"/>
    <mergeCell ref="B116:G116"/>
    <mergeCell ref="E118:G122"/>
    <mergeCell ref="E117:F117"/>
    <mergeCell ref="C128:G128"/>
    <mergeCell ref="B124:G124"/>
    <mergeCell ref="B46:D46"/>
    <mergeCell ref="B49:L49"/>
    <mergeCell ref="B50:L52"/>
    <mergeCell ref="B67:E67"/>
    <mergeCell ref="F67:G67"/>
    <mergeCell ref="B68:E68"/>
    <mergeCell ref="F68:G68"/>
    <mergeCell ref="B66:E66"/>
    <mergeCell ref="F66:G66"/>
    <mergeCell ref="B73:D73"/>
    <mergeCell ref="F73:G73"/>
    <mergeCell ref="B111:E111"/>
    <mergeCell ref="B82:L92"/>
    <mergeCell ref="G112:H112"/>
    <mergeCell ref="H121:J121"/>
    <mergeCell ref="H122:J122"/>
    <mergeCell ref="G44:I44"/>
    <mergeCell ref="H128:J128"/>
    <mergeCell ref="B76:D76"/>
    <mergeCell ref="H76:I76"/>
    <mergeCell ref="J76:L76"/>
    <mergeCell ref="B44:D44"/>
    <mergeCell ref="B45:D45"/>
    <mergeCell ref="B47:D47"/>
    <mergeCell ref="B71:D71"/>
    <mergeCell ref="F57:G57"/>
    <mergeCell ref="F58:G58"/>
    <mergeCell ref="F61:G61"/>
    <mergeCell ref="B70:L70"/>
    <mergeCell ref="B113:E113"/>
    <mergeCell ref="H72:I72"/>
    <mergeCell ref="H73:I73"/>
    <mergeCell ref="J71:L71"/>
    <mergeCell ref="H71:I71"/>
    <mergeCell ref="J111:K111"/>
    <mergeCell ref="H125:J125"/>
    <mergeCell ref="E78:G78"/>
    <mergeCell ref="B114:E114"/>
    <mergeCell ref="B81:L81"/>
    <mergeCell ref="J44:K44"/>
    <mergeCell ref="F145:H145"/>
    <mergeCell ref="F146:H146"/>
    <mergeCell ref="F147:H147"/>
    <mergeCell ref="F148:H148"/>
    <mergeCell ref="F135:H135"/>
    <mergeCell ref="B132:E132"/>
    <mergeCell ref="B133:E133"/>
    <mergeCell ref="B134:E134"/>
    <mergeCell ref="F133:H133"/>
    <mergeCell ref="B148:E148"/>
    <mergeCell ref="B144:E144"/>
    <mergeCell ref="B145:E145"/>
    <mergeCell ref="B147:E147"/>
    <mergeCell ref="H138:J138"/>
    <mergeCell ref="H141:J141"/>
    <mergeCell ref="F134:H134"/>
    <mergeCell ref="B135:E135"/>
    <mergeCell ref="F132:H132"/>
    <mergeCell ref="B77:D77"/>
    <mergeCell ref="B78:D78"/>
    <mergeCell ref="H137:J137"/>
    <mergeCell ref="B143:I143"/>
    <mergeCell ref="F144:H144"/>
    <mergeCell ref="B75:G75"/>
    <mergeCell ref="H117:J117"/>
    <mergeCell ref="B110:E110"/>
    <mergeCell ref="B131:E131"/>
    <mergeCell ref="B112:E112"/>
    <mergeCell ref="F131:H131"/>
    <mergeCell ref="J110:K110"/>
    <mergeCell ref="B95:L95"/>
    <mergeCell ref="B96:L106"/>
    <mergeCell ref="B93:L94"/>
    <mergeCell ref="B2:L5"/>
    <mergeCell ref="C141:D141"/>
    <mergeCell ref="B146:E146"/>
    <mergeCell ref="G46:I46"/>
    <mergeCell ref="F71:G71"/>
    <mergeCell ref="H126:J126"/>
    <mergeCell ref="H127:J127"/>
    <mergeCell ref="B152:C152"/>
    <mergeCell ref="B159:C159"/>
    <mergeCell ref="D159:E159"/>
    <mergeCell ref="B130:J130"/>
    <mergeCell ref="B72:D72"/>
    <mergeCell ref="G113:H113"/>
    <mergeCell ref="G114:H114"/>
    <mergeCell ref="J112:K112"/>
    <mergeCell ref="E76:G76"/>
    <mergeCell ref="E77:G77"/>
    <mergeCell ref="F72:G72"/>
    <mergeCell ref="J72:L72"/>
    <mergeCell ref="J73:L73"/>
    <mergeCell ref="B137:D137"/>
    <mergeCell ref="H140:J140"/>
    <mergeCell ref="H77:I78"/>
    <mergeCell ref="J77:L78"/>
  </mergeCells>
  <conditionalFormatting sqref="D159:E159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8">
    <dataValidation type="list" allowBlank="1" showInputMessage="1" showErrorMessage="1" sqref="B22" xr:uid="{1FDC0EED-171B-4413-B947-3BA26F5BD65C}">
      <formula1>"Desconto, Domicílio, Comissária, Intercompany, Fomento, CCB, Ant. Fornecedores"</formula1>
    </dataValidation>
    <dataValidation type="list" showInputMessage="1" showErrorMessage="1" sqref="J9:K9" xr:uid="{CEC95633-5548-4FDC-BBD5-9E1F6BB4153D}">
      <formula1>"Prospecção, Renovação"</formula1>
    </dataValidation>
    <dataValidation type="list" showInputMessage="1" showErrorMessage="1" sqref="D40" xr:uid="{E6E0A742-CA99-44AE-B68A-D3324D77E008}">
      <formula1>"Sim, Não"</formula1>
    </dataValidation>
    <dataValidation type="list" showInputMessage="1" showErrorMessage="1" sqref="C37" xr:uid="{75A7BD9C-0D2B-4C4D-A9FC-732D29E4244D}">
      <formula1>"Próprio, Fretado, Sacado Retira, Transportadora"</formula1>
    </dataValidation>
    <dataValidation type="list" showInputMessage="1" showErrorMessage="1" sqref="C40" xr:uid="{3822A49E-75DF-4FFC-97EC-67C7EE8FA7FF}">
      <formula1>"Canhoto, CTE, Confirmação Checagem"</formula1>
    </dataValidation>
    <dataValidation type="list" allowBlank="1" showInputMessage="1" showErrorMessage="1" sqref="I66:I68 G117" xr:uid="{1A6625A1-851B-4DB7-A50E-14794A176D1B}">
      <formula1>"Sim, Não"</formula1>
    </dataValidation>
    <dataValidation type="list" allowBlank="1" showInputMessage="1" showErrorMessage="1" sqref="J132:J135" xr:uid="{DEEC7A2F-55CF-4318-8ABF-E74372FBC789}">
      <formula1>"Boleto, Crédito em Conta"</formula1>
    </dataValidation>
    <dataValidation type="list" allowBlank="1" showInputMessage="1" showErrorMessage="1" sqref="E72:E73" xr:uid="{CFE275D7-2612-49E7-A16C-BC642067F252}">
      <formula1>"Próprio, Alugado"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25" fitToHeight="2" orientation="portrait" horizontalDpi="4294967294" verticalDpi="4294967294" r:id="rId1"/>
  <rowBreaks count="2" manualBreakCount="2">
    <brk id="92" max="16383" man="1"/>
    <brk id="149" max="16383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04D0-FC41-4C73-80D9-6BD19297BA8B}">
  <dimension ref="A2:G12"/>
  <sheetViews>
    <sheetView workbookViewId="0">
      <selection activeCell="J9" sqref="J9"/>
    </sheetView>
  </sheetViews>
  <sheetFormatPr defaultRowHeight="14.4" x14ac:dyDescent="0.3"/>
  <sheetData>
    <row r="2" spans="1:7" ht="18" customHeight="1" x14ac:dyDescent="0.3">
      <c r="A2" s="370" t="s">
        <v>67</v>
      </c>
      <c r="B2" s="371"/>
      <c r="C2" s="371"/>
      <c r="D2" s="372"/>
      <c r="E2" s="2"/>
      <c r="F2" s="3"/>
      <c r="G2" s="3"/>
    </row>
    <row r="3" spans="1:7" ht="18" customHeight="1" x14ac:dyDescent="0.3">
      <c r="A3" s="4"/>
      <c r="B3" s="5"/>
      <c r="C3" s="5" t="s">
        <v>79</v>
      </c>
      <c r="D3" s="5" t="s">
        <v>78</v>
      </c>
      <c r="E3" s="6"/>
      <c r="F3" s="1"/>
      <c r="G3" s="1"/>
    </row>
    <row r="4" spans="1:7" ht="18" customHeight="1" x14ac:dyDescent="0.3">
      <c r="A4" s="7" t="s">
        <v>68</v>
      </c>
      <c r="B4" s="8"/>
      <c r="C4" s="9"/>
      <c r="D4" s="10" t="s">
        <v>77</v>
      </c>
      <c r="E4" s="11"/>
    </row>
    <row r="5" spans="1:7" ht="18" customHeight="1" x14ac:dyDescent="0.3">
      <c r="A5" s="7" t="s">
        <v>69</v>
      </c>
      <c r="B5" s="8"/>
      <c r="C5" s="12"/>
      <c r="D5" s="13">
        <v>5</v>
      </c>
      <c r="E5" s="11"/>
    </row>
    <row r="6" spans="1:7" ht="18" customHeight="1" x14ac:dyDescent="0.3">
      <c r="A6" s="7" t="s">
        <v>70</v>
      </c>
      <c r="B6" s="8"/>
      <c r="C6" s="12"/>
      <c r="D6" s="13">
        <v>15</v>
      </c>
      <c r="E6" s="11"/>
    </row>
    <row r="7" spans="1:7" ht="18" customHeight="1" x14ac:dyDescent="0.3">
      <c r="A7" s="7" t="s">
        <v>71</v>
      </c>
      <c r="B7" s="8"/>
      <c r="C7" s="12"/>
      <c r="D7" s="13">
        <v>24</v>
      </c>
      <c r="E7" s="11"/>
    </row>
    <row r="8" spans="1:7" ht="18" customHeight="1" x14ac:dyDescent="0.3">
      <c r="A8" s="7" t="s">
        <v>72</v>
      </c>
      <c r="B8" s="8"/>
      <c r="C8" s="12"/>
      <c r="D8" s="13">
        <v>24</v>
      </c>
      <c r="E8" s="11"/>
    </row>
    <row r="9" spans="1:7" ht="18" customHeight="1" x14ac:dyDescent="0.3">
      <c r="A9" s="7" t="s">
        <v>73</v>
      </c>
      <c r="B9" s="8"/>
      <c r="C9" s="12"/>
      <c r="D9" s="13">
        <v>24</v>
      </c>
      <c r="E9" s="11"/>
    </row>
    <row r="10" spans="1:7" ht="18" customHeight="1" x14ac:dyDescent="0.3">
      <c r="A10" s="7" t="s">
        <v>74</v>
      </c>
      <c r="B10" s="8"/>
      <c r="C10" s="12"/>
      <c r="D10" s="13">
        <v>24</v>
      </c>
      <c r="E10" s="11"/>
    </row>
    <row r="11" spans="1:7" ht="18" customHeight="1" x14ac:dyDescent="0.3">
      <c r="A11" s="7" t="s">
        <v>75</v>
      </c>
      <c r="B11" s="8"/>
      <c r="C11" s="12"/>
      <c r="D11" s="13">
        <v>15</v>
      </c>
      <c r="E11" s="11"/>
    </row>
    <row r="12" spans="1:7" ht="18" customHeight="1" x14ac:dyDescent="0.3">
      <c r="A12" s="7" t="s">
        <v>76</v>
      </c>
      <c r="B12" s="8"/>
      <c r="C12" s="12"/>
      <c r="D12" s="13">
        <v>7</v>
      </c>
      <c r="E12" s="11"/>
    </row>
  </sheetData>
  <mergeCells count="1">
    <mergeCell ref="A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 Dias</dc:creator>
  <cp:lastModifiedBy>Marylene Paiva Lucena</cp:lastModifiedBy>
  <cp:lastPrinted>2024-07-12T16:23:37Z</cp:lastPrinted>
  <dcterms:created xsi:type="dcterms:W3CDTF">2020-01-28T17:29:06Z</dcterms:created>
  <dcterms:modified xsi:type="dcterms:W3CDTF">2025-12-17T15:32:58Z</dcterms:modified>
</cp:coreProperties>
</file>